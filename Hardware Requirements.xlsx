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UNIM - UOE @BIC\AirSense\"/>
    </mc:Choice>
  </mc:AlternateContent>
  <xr:revisionPtr revIDLastSave="0" documentId="13_ncr:1_{724CBA8F-C6E5-4DA7-BA35-C9097EFBA345}" xr6:coauthVersionLast="47" xr6:coauthVersionMax="47" xr10:uidLastSave="{00000000-0000-0000-0000-000000000000}"/>
  <bookViews>
    <workbookView xWindow="-108" yWindow="-108" windowWidth="23256" windowHeight="12456" xr2:uid="{00000000-000D-0000-FFFF-FFFF00000000}"/>
  </bookViews>
  <sheets>
    <sheet name="Project Summary" sheetId="1" r:id="rId1"/>
    <sheet name="Bill of Materials" sheetId="2" r:id="rId2"/>
    <sheet name="Wiring" sheetId="3" r:id="rId3"/>
    <sheet name="Software &amp; Logging" sheetId="4" r:id="rId4"/>
    <sheet name="Rooftop Installation" sheetId="5" r:id="rId5"/>
    <sheet name="Methodology" sheetId="6" r:id="rId6"/>
    <sheet name="Analysis Ideas" sheetId="7" r:id="rId7"/>
  </sheets>
  <calcPr calcId="191029"/>
</workbook>
</file>

<file path=xl/calcChain.xml><?xml version="1.0" encoding="utf-8"?>
<calcChain xmlns="http://schemas.openxmlformats.org/spreadsheetml/2006/main">
  <c r="E11" i="2" l="1"/>
  <c r="E10" i="2"/>
  <c r="E9" i="2"/>
  <c r="E8" i="2"/>
  <c r="E7" i="2"/>
  <c r="E6" i="2"/>
  <c r="E5" i="2"/>
  <c r="E4" i="2"/>
  <c r="E13" i="2" s="1"/>
</calcChain>
</file>

<file path=xl/sharedStrings.xml><?xml version="1.0" encoding="utf-8"?>
<sst xmlns="http://schemas.openxmlformats.org/spreadsheetml/2006/main" count="162" uniqueCount="141">
  <si>
    <t>Section</t>
  </si>
  <si>
    <t>Details</t>
  </si>
  <si>
    <t>Project Goal</t>
  </si>
  <si>
    <t>Monitor rooftop ambient PM2.5 and PM10 on campus, while also recording temperature and humidity for project analysis and reporting.</t>
  </si>
  <si>
    <t>Recommended Low-Budget Option</t>
  </si>
  <si>
    <t>SDS011 PM sensor + ESP32 + DHT22 + microSD logging + weather enclosure + DIY radiation shield.</t>
  </si>
  <si>
    <t>Why This Option</t>
  </si>
  <si>
    <t>Low cost, laser-based PM sensing, simple hardware, offline logging, easy CSV export to Excel, acceptable for student research projects.</t>
  </si>
  <si>
    <t>Suggested Placement</t>
  </si>
  <si>
    <t>Campus rooftop, mounted 1–2 m above roof level, protected from direct sun and rain, and kept away from exhaust outlets or AC vents.</t>
  </si>
  <si>
    <t>Sampling Interval</t>
  </si>
  <si>
    <t>1 minute (recommended for long-term monitoring and easy analysis).</t>
  </si>
  <si>
    <t>Stored Parameters</t>
  </si>
  <si>
    <t>Date, Time, PM2.5, PM10, Temperature, Humidity</t>
  </si>
  <si>
    <t>Final Estimated Cost</t>
  </si>
  <si>
    <t>USD $41 (approximately PKR 11,500–12,000, depending on local market availability).</t>
  </si>
  <si>
    <t>Bill of Materials and Total Setup Cost</t>
  </si>
  <si>
    <t>Item</t>
  </si>
  <si>
    <t>Purpose</t>
  </si>
  <si>
    <t>Qty</t>
  </si>
  <si>
    <t>Notes</t>
  </si>
  <si>
    <t>SDS011 PM Sensor</t>
  </si>
  <si>
    <t>Measures PM2.5 and PM10</t>
  </si>
  <si>
    <t>Laser-based particle sensor</t>
  </si>
  <si>
    <t>ESP32 Dev Board</t>
  </si>
  <si>
    <t>Main controller and logger</t>
  </si>
  <si>
    <t>Reads sensors and stores data</t>
  </si>
  <si>
    <t>DHT22 Sensor</t>
  </si>
  <si>
    <t>Measures temperature and humidity</t>
  </si>
  <si>
    <t>Environmental context for readings</t>
  </si>
  <si>
    <t>microSD Module + Card</t>
  </si>
  <si>
    <t>Local data storage</t>
  </si>
  <si>
    <t>Stores CSV logs offline</t>
  </si>
  <si>
    <t>Weather Enclosure</t>
  </si>
  <si>
    <t>Outdoor protection</t>
  </si>
  <si>
    <t>Protects electronics from rain/dust</t>
  </si>
  <si>
    <t>DIY Radiation Shield</t>
  </si>
  <si>
    <t>Blocks direct sunlight</t>
  </si>
  <si>
    <t>Improves data reliability outdoors</t>
  </si>
  <si>
    <t>Wires and Mounts</t>
  </si>
  <si>
    <t>Electrical connection and installation</t>
  </si>
  <si>
    <t>Jumper wires, screws, ties</t>
  </si>
  <si>
    <t>5V Power Adapter + Cable</t>
  </si>
  <si>
    <t>Power supply</t>
  </si>
  <si>
    <t>Stable power for ESP32 and sensor</t>
  </si>
  <si>
    <t>Total (USD)</t>
  </si>
  <si>
    <t>Approx. Cost (PKR)</t>
  </si>
  <si>
    <t>11,500–12,000</t>
  </si>
  <si>
    <t>ESP32 Wiring Connections</t>
  </si>
  <si>
    <t>Module</t>
  </si>
  <si>
    <t>Module Pin</t>
  </si>
  <si>
    <t>ESP32 Pin</t>
  </si>
  <si>
    <t>Power</t>
  </si>
  <si>
    <t>SDS011</t>
  </si>
  <si>
    <t>TX</t>
  </si>
  <si>
    <t>GPIO16 (RX2)</t>
  </si>
  <si>
    <t>5V/GND</t>
  </si>
  <si>
    <t>Serial connection from sensor to ESP32</t>
  </si>
  <si>
    <t>RX</t>
  </si>
  <si>
    <t>GPIO17 (TX2)</t>
  </si>
  <si>
    <t>Serial connection from ESP32 to sensor</t>
  </si>
  <si>
    <t>Vcc/GND</t>
  </si>
  <si>
    <t>5V / GND</t>
  </si>
  <si>
    <t>Provide stable power</t>
  </si>
  <si>
    <t>DHT22</t>
  </si>
  <si>
    <t>DATA</t>
  </si>
  <si>
    <t>GPIO4</t>
  </si>
  <si>
    <t>3.3V/GND</t>
  </si>
  <si>
    <t>Temperature and humidity data pin</t>
  </si>
  <si>
    <t>3.3V / GND</t>
  </si>
  <si>
    <t>Use 3.3V for DHT22 module</t>
  </si>
  <si>
    <t>microSD</t>
  </si>
  <si>
    <t>CS</t>
  </si>
  <si>
    <t>GPIO5</t>
  </si>
  <si>
    <t>SPI chip select</t>
  </si>
  <si>
    <t>MOSI</t>
  </si>
  <si>
    <t>GPIO23</t>
  </si>
  <si>
    <t>SPI MOSI</t>
  </si>
  <si>
    <t>MISO</t>
  </si>
  <si>
    <t>GPIO19</t>
  </si>
  <si>
    <t>SPI MISO</t>
  </si>
  <si>
    <t>CLK</t>
  </si>
  <si>
    <t>GPIO18</t>
  </si>
  <si>
    <t>SPI clock</t>
  </si>
  <si>
    <t>Important Note</t>
  </si>
  <si>
    <t>Keep all grounds common. Use a stable 5V supply for the SDS011 and microSD module.</t>
  </si>
  <si>
    <t>Software, Logging, and Data Format</t>
  </si>
  <si>
    <t>Topic</t>
  </si>
  <si>
    <t>Required Software</t>
  </si>
  <si>
    <t>Arduino IDE, ESP32 board package, and libraries for SDS011, DHT, SPI, and SD.</t>
  </si>
  <si>
    <t>Recommended Logging Method</t>
  </si>
  <si>
    <t>Store readings locally on a microSD card in CSV format. This keeps the setup low-cost, offline, and reliable for rooftop monitoring.</t>
  </si>
  <si>
    <t>1 minute</t>
  </si>
  <si>
    <t>CSV Header</t>
  </si>
  <si>
    <t>Example Record</t>
  </si>
  <si>
    <t>2026-04-28, 10:05, 65.2, 80.1, 32.5, 71</t>
  </si>
  <si>
    <t>Data Use</t>
  </si>
  <si>
    <t>CSV data can be opened in Excel, Google Sheets, MATLAB, or Python for graphs and analysis.</t>
  </si>
  <si>
    <t>Reference Arduino Logger Code</t>
  </si>
  <si>
    <t>#include &lt;SDS011.h&gt;
#include &lt;DHT.h&gt;
#include &lt;SPI.h&gt;
#include &lt;SD.h&gt;
#define DHTPIN 4
#define DHTTYPE DHT22
#define SD_CS 5
HardwareSerial sdsSerial(2);
SDS011 sds;
DHT dht(DHTPIN, DHTTYPE);
File dataFile;
void setup() {
  Serial.begin(115200);
  sdsSerial.begin(9600, SERIAL_8N1, 16, 17);
  sds.begin(sdsSerial);
  dht.begin();
  if (!SD.begin(SD_CS)) while (1);
}
void loop() {
  float pm25, pm10;
  if (sds.read(&amp;pm25, &amp;pm10)) {
    float t = dht.readTemperature();
    float h = dht.readHumidity();
    // Save a CSV record to SD card here
  }
  delay(60000);
}</t>
  </si>
  <si>
    <t>Rooftop Installation Guidelines</t>
  </si>
  <si>
    <t>Requirement</t>
  </si>
  <si>
    <t>Recommendation</t>
  </si>
  <si>
    <t>Height Above Roof</t>
  </si>
  <si>
    <t>Mount the unit 1–2 m above the roof surface.</t>
  </si>
  <si>
    <t>Distance from Exhausts</t>
  </si>
  <si>
    <t>Keep at least 3 m away from AC vents, kitchen outlets, and generator exhausts.</t>
  </si>
  <si>
    <t>Sun and Rain Protection</t>
  </si>
  <si>
    <t>Use a ventilated weather enclosure and a white radiation shield.</t>
  </si>
  <si>
    <t>Airflow</t>
  </si>
  <si>
    <t>Do not block the air inlet. Keep the inlet horizontal or slightly downward.</t>
  </si>
  <si>
    <t>Power Stability</t>
  </si>
  <si>
    <t>Use a stable 5V supply and weather-protect cable joints.</t>
  </si>
  <si>
    <t>Logging Check</t>
  </si>
  <si>
    <t>Check SD card logging during pilot testing before long-term deployment.</t>
  </si>
  <si>
    <t>Do Not</t>
  </si>
  <si>
    <t>Do not place the sensor directly in sun, on a hot metal surface, or near forced exhaust airflow.</t>
  </si>
  <si>
    <t>Ready-to-Paste Methodology Paragraph</t>
  </si>
  <si>
    <t>An SDS011 laser-based particulate matter sensor was deployed on the campus rooftop to measure ambient PM2.5 and PM10 concentrations. An ESP32 microcontroller was used for data acquisition and control. Temperature and relative humidity were measured using a DHT22 sensor for environmental context. Measurements were recorded at one-minute intervals and stored locally in CSV format on a microSD card. The sensor system was housed in a ventilated, weather-resistant enclosure with a radiation shield to minimize solar heating effects. The installation location was selected away from direct exhaust sources to improve the representativeness of ambient readings.</t>
  </si>
  <si>
    <t>Suggested Graphs and Analysis</t>
  </si>
  <si>
    <t>Graph / Analysis</t>
  </si>
  <si>
    <t>Why It Helps</t>
  </si>
  <si>
    <t>Tool</t>
  </si>
  <si>
    <t>PM2.5 vs Time</t>
  </si>
  <si>
    <t>Shows daily trend and pollution peaks</t>
  </si>
  <si>
    <t>Excel / Python / MATLAB</t>
  </si>
  <si>
    <t>PM10 vs Time</t>
  </si>
  <si>
    <t>Compares coarse particle behavior</t>
  </si>
  <si>
    <t>Temperature vs PM2.5</t>
  </si>
  <si>
    <t>Checks effect of heating and weather</t>
  </si>
  <si>
    <t>Humidity vs PM2.5</t>
  </si>
  <si>
    <t>Helps discuss moisture influence on readings</t>
  </si>
  <si>
    <t>Day vs Night Average</t>
  </si>
  <si>
    <t>Useful for discussion and conclusion</t>
  </si>
  <si>
    <t>Excel</t>
  </si>
  <si>
    <t>z</t>
  </si>
  <si>
    <t>Est Unit Cost (USD)</t>
  </si>
  <si>
    <t>Est Subtotal (USD)</t>
  </si>
  <si>
    <t xml:space="preserve">Plan </t>
  </si>
  <si>
    <t>We plan to implement a low-cost, laser-based PM2.5 monitoring system using an ESP32 with local CSV logging for reliable long-term rooftop measurements.</t>
  </si>
  <si>
    <t xml:space="preserve">          IoT-Based Ambient PM2.5 Monitoring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</si>
</sst>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4"/>
      <color rgb="FFFFFFFF"/>
      <name val="Calibri"/>
    </font>
    <font>
      <b/>
      <sz val="11"/>
      <name val="Calibri"/>
    </font>
    <font>
      <sz val="11"/>
      <name val="Calibri"/>
    </font>
    <font>
      <sz val="10"/>
      <name val="Courier New"/>
    </font>
    <font>
      <sz val="12"/>
      <name val="Calibri"/>
    </font>
  </fonts>
  <fills count="6">
    <fill>
      <patternFill patternType="none"/>
    </fill>
    <fill>
      <patternFill patternType="gray125"/>
    </fill>
    <fill>
      <patternFill patternType="solid">
        <fgColor rgb="FF1F4E78"/>
      </patternFill>
    </fill>
    <fill>
      <patternFill patternType="solid">
        <fgColor rgb="FFBDD7EE"/>
      </patternFill>
    </fill>
    <fill>
      <patternFill patternType="solid">
        <fgColor rgb="FFE2F0D9"/>
      </patternFill>
    </fill>
    <fill>
      <patternFill patternType="solid">
        <fgColor rgb="FFFFF2CC"/>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4">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horizontal="left" vertical="top" wrapText="1"/>
    </xf>
    <xf numFmtId="0" fontId="2" fillId="4" borderId="1" xfId="0" applyFont="1" applyFill="1" applyBorder="1" applyAlignment="1">
      <alignment horizontal="left" vertical="top"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top" wrapText="1"/>
    </xf>
    <xf numFmtId="0" fontId="1" fillId="0" borderId="0" xfId="0" applyFont="1" applyAlignment="1">
      <alignment vertical="center" wrapText="1"/>
    </xf>
    <xf numFmtId="0" fontId="1" fillId="2" borderId="0" xfId="0" applyFont="1" applyFill="1" applyAlignment="1">
      <alignment horizontal="center" vertical="center" wrapText="1"/>
    </xf>
    <xf numFmtId="0" fontId="0" fillId="0" borderId="0" xfId="0"/>
    <xf numFmtId="0" fontId="2" fillId="5" borderId="1" xfId="0" applyFont="1" applyFill="1" applyBorder="1" applyAlignment="1">
      <alignment horizontal="left" vertical="top" wrapText="1"/>
    </xf>
    <xf numFmtId="0" fontId="4" fillId="0" borderId="1" xfId="0" applyFont="1" applyBorder="1" applyAlignment="1">
      <alignment horizontal="left" vertical="top" wrapText="1"/>
    </xf>
    <xf numFmtId="0" fontId="0" fillId="0" borderId="1" xfId="0" applyBorder="1"/>
    <xf numFmtId="0" fontId="5"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tabSelected="1" workbookViewId="0">
      <pane ySplit="2" topLeftCell="A3" activePane="bottomLeft" state="frozen"/>
      <selection pane="bottomLeft" activeCell="B13" sqref="B13"/>
    </sheetView>
  </sheetViews>
  <sheetFormatPr defaultRowHeight="14.4"/>
  <cols>
    <col min="1" max="1" width="28" customWidth="1"/>
    <col min="2" max="2" width="95" customWidth="1"/>
    <col min="3" max="3" width="8.109375" customWidth="1"/>
    <col min="4" max="4" width="11.77734375" customWidth="1"/>
    <col min="5" max="5" width="5.88671875" customWidth="1"/>
    <col min="6" max="6" width="5" customWidth="1"/>
    <col min="7" max="7" width="5.77734375" customWidth="1"/>
  </cols>
  <sheetData>
    <row r="1" spans="1:7" ht="24" customHeight="1">
      <c r="A1" s="8" t="s">
        <v>140</v>
      </c>
      <c r="B1" s="8"/>
      <c r="C1" s="7"/>
      <c r="D1" s="7"/>
      <c r="E1" s="7"/>
      <c r="F1" s="7"/>
      <c r="G1" s="7"/>
    </row>
    <row r="3" spans="1:7">
      <c r="A3" s="1" t="s">
        <v>0</v>
      </c>
      <c r="B3" s="1" t="s">
        <v>1</v>
      </c>
    </row>
    <row r="4" spans="1:7" ht="28.8">
      <c r="A4" s="2" t="s">
        <v>2</v>
      </c>
      <c r="B4" s="2" t="s">
        <v>3</v>
      </c>
    </row>
    <row r="5" spans="1:7" ht="28.8">
      <c r="A5" s="2" t="s">
        <v>4</v>
      </c>
      <c r="B5" s="2" t="s">
        <v>5</v>
      </c>
    </row>
    <row r="6" spans="1:7" ht="28.8">
      <c r="A6" s="2" t="s">
        <v>6</v>
      </c>
      <c r="B6" s="2" t="s">
        <v>7</v>
      </c>
    </row>
    <row r="7" spans="1:7" ht="28.8">
      <c r="A7" s="2" t="s">
        <v>8</v>
      </c>
      <c r="B7" s="2" t="s">
        <v>9</v>
      </c>
    </row>
    <row r="8" spans="1:7">
      <c r="A8" s="2" t="s">
        <v>10</v>
      </c>
      <c r="B8" s="2" t="s">
        <v>11</v>
      </c>
    </row>
    <row r="9" spans="1:7">
      <c r="A9" s="2" t="s">
        <v>12</v>
      </c>
      <c r="B9" s="2" t="s">
        <v>13</v>
      </c>
    </row>
    <row r="10" spans="1:7">
      <c r="A10" s="2" t="s">
        <v>14</v>
      </c>
      <c r="B10" s="2" t="s">
        <v>15</v>
      </c>
    </row>
    <row r="12" spans="1:7" ht="28.8">
      <c r="A12" s="3" t="s">
        <v>138</v>
      </c>
      <c r="B12" s="3" t="s">
        <v>139</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workbookViewId="0">
      <pane ySplit="2" topLeftCell="A3" activePane="bottomLeft" state="frozen"/>
      <selection pane="bottomLeft" activeCell="E6" sqref="E6"/>
    </sheetView>
  </sheetViews>
  <sheetFormatPr defaultRowHeight="14.4"/>
  <cols>
    <col min="1" max="1" width="24" customWidth="1"/>
    <col min="2" max="2" width="35" customWidth="1"/>
    <col min="3" max="3" width="8" customWidth="1"/>
    <col min="4" max="5" width="16" customWidth="1"/>
    <col min="6" max="6" width="28" customWidth="1"/>
  </cols>
  <sheetData>
    <row r="1" spans="1:6" ht="24" customHeight="1">
      <c r="A1" s="8" t="s">
        <v>16</v>
      </c>
      <c r="B1" s="9"/>
      <c r="C1" s="9"/>
      <c r="D1" s="9"/>
      <c r="E1" s="9"/>
      <c r="F1" s="9"/>
    </row>
    <row r="3" spans="1:6" ht="28.8">
      <c r="A3" s="1" t="s">
        <v>17</v>
      </c>
      <c r="B3" s="1" t="s">
        <v>18</v>
      </c>
      <c r="C3" s="1" t="s">
        <v>19</v>
      </c>
      <c r="D3" s="1" t="s">
        <v>136</v>
      </c>
      <c r="E3" s="1" t="s">
        <v>137</v>
      </c>
      <c r="F3" s="1" t="s">
        <v>20</v>
      </c>
    </row>
    <row r="4" spans="1:6">
      <c r="A4" s="2" t="s">
        <v>21</v>
      </c>
      <c r="B4" s="2" t="s">
        <v>22</v>
      </c>
      <c r="C4" s="2">
        <v>1</v>
      </c>
      <c r="D4" s="2">
        <v>15</v>
      </c>
      <c r="E4" s="2">
        <f t="shared" ref="E4:E11" si="0">C4*D4</f>
        <v>15</v>
      </c>
      <c r="F4" s="2" t="s">
        <v>23</v>
      </c>
    </row>
    <row r="5" spans="1:6">
      <c r="A5" s="2" t="s">
        <v>24</v>
      </c>
      <c r="B5" s="2" t="s">
        <v>25</v>
      </c>
      <c r="C5" s="2">
        <v>1</v>
      </c>
      <c r="D5" s="2">
        <v>7</v>
      </c>
      <c r="E5" s="2">
        <f t="shared" si="0"/>
        <v>7</v>
      </c>
      <c r="F5" s="2" t="s">
        <v>26</v>
      </c>
    </row>
    <row r="6" spans="1:6" ht="28.8">
      <c r="A6" s="2" t="s">
        <v>27</v>
      </c>
      <c r="B6" s="2" t="s">
        <v>28</v>
      </c>
      <c r="C6" s="2">
        <v>1</v>
      </c>
      <c r="D6" s="2">
        <v>3</v>
      </c>
      <c r="E6" s="2">
        <f t="shared" si="0"/>
        <v>3</v>
      </c>
      <c r="F6" s="2" t="s">
        <v>29</v>
      </c>
    </row>
    <row r="7" spans="1:6">
      <c r="A7" s="2" t="s">
        <v>30</v>
      </c>
      <c r="B7" s="2" t="s">
        <v>31</v>
      </c>
      <c r="C7" s="2">
        <v>1</v>
      </c>
      <c r="D7" s="2">
        <v>4</v>
      </c>
      <c r="E7" s="2">
        <f t="shared" si="0"/>
        <v>4</v>
      </c>
      <c r="F7" s="2" t="s">
        <v>32</v>
      </c>
    </row>
    <row r="8" spans="1:6" ht="28.8">
      <c r="A8" s="2" t="s">
        <v>33</v>
      </c>
      <c r="B8" s="2" t="s">
        <v>34</v>
      </c>
      <c r="C8" s="2">
        <v>1</v>
      </c>
      <c r="D8" s="2">
        <v>5</v>
      </c>
      <c r="E8" s="2">
        <f t="shared" si="0"/>
        <v>5</v>
      </c>
      <c r="F8" s="2" t="s">
        <v>35</v>
      </c>
    </row>
    <row r="9" spans="1:6" ht="28.8">
      <c r="A9" s="2" t="s">
        <v>36</v>
      </c>
      <c r="B9" s="2" t="s">
        <v>37</v>
      </c>
      <c r="C9" s="2">
        <v>1</v>
      </c>
      <c r="D9" s="2">
        <v>3</v>
      </c>
      <c r="E9" s="2">
        <f t="shared" si="0"/>
        <v>3</v>
      </c>
      <c r="F9" s="2" t="s">
        <v>38</v>
      </c>
    </row>
    <row r="10" spans="1:6">
      <c r="A10" s="2" t="s">
        <v>39</v>
      </c>
      <c r="B10" s="2" t="s">
        <v>40</v>
      </c>
      <c r="C10" s="2">
        <v>1</v>
      </c>
      <c r="D10" s="2">
        <v>2</v>
      </c>
      <c r="E10" s="2">
        <f t="shared" si="0"/>
        <v>2</v>
      </c>
      <c r="F10" s="2" t="s">
        <v>41</v>
      </c>
    </row>
    <row r="11" spans="1:6" ht="28.8">
      <c r="A11" s="2" t="s">
        <v>42</v>
      </c>
      <c r="B11" s="2" t="s">
        <v>43</v>
      </c>
      <c r="C11" s="2">
        <v>1</v>
      </c>
      <c r="D11" s="2">
        <v>2</v>
      </c>
      <c r="E11" s="2">
        <f t="shared" si="0"/>
        <v>2</v>
      </c>
      <c r="F11" s="2" t="s">
        <v>44</v>
      </c>
    </row>
    <row r="13" spans="1:6">
      <c r="D13" s="4" t="s">
        <v>45</v>
      </c>
      <c r="E13" s="4">
        <f>SUM(E4:E11)</f>
        <v>41</v>
      </c>
    </row>
    <row r="14" spans="1:6" ht="28.8">
      <c r="D14" s="5" t="s">
        <v>46</v>
      </c>
      <c r="E14" s="5" t="s">
        <v>47</v>
      </c>
    </row>
  </sheetData>
  <mergeCells count="1">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9"/>
  <sheetViews>
    <sheetView workbookViewId="0">
      <pane ySplit="2" topLeftCell="A3" activePane="bottomLeft" state="frozen"/>
      <selection pane="bottomLeft" activeCell="J19" sqref="J19"/>
    </sheetView>
  </sheetViews>
  <sheetFormatPr defaultRowHeight="14.4"/>
  <cols>
    <col min="1" max="1" width="16" customWidth="1"/>
    <col min="2" max="2" width="18" customWidth="1"/>
    <col min="3" max="3" width="22" customWidth="1"/>
    <col min="4" max="4" width="14" customWidth="1"/>
    <col min="5" max="5" width="42" customWidth="1"/>
  </cols>
  <sheetData>
    <row r="1" spans="1:5" ht="24" customHeight="1">
      <c r="A1" s="8" t="s">
        <v>48</v>
      </c>
      <c r="B1" s="9"/>
      <c r="C1" s="9"/>
      <c r="D1" s="9"/>
      <c r="E1" s="9"/>
    </row>
    <row r="3" spans="1:5">
      <c r="A3" s="1" t="s">
        <v>49</v>
      </c>
      <c r="B3" s="1" t="s">
        <v>50</v>
      </c>
      <c r="C3" s="1" t="s">
        <v>51</v>
      </c>
      <c r="D3" s="1" t="s">
        <v>52</v>
      </c>
      <c r="E3" s="1" t="s">
        <v>20</v>
      </c>
    </row>
    <row r="4" spans="1:5">
      <c r="A4" s="2" t="s">
        <v>53</v>
      </c>
      <c r="B4" s="2" t="s">
        <v>54</v>
      </c>
      <c r="C4" s="2" t="s">
        <v>55</v>
      </c>
      <c r="D4" s="2" t="s">
        <v>56</v>
      </c>
      <c r="E4" s="2" t="s">
        <v>57</v>
      </c>
    </row>
    <row r="5" spans="1:5">
      <c r="A5" s="2" t="s">
        <v>53</v>
      </c>
      <c r="B5" s="2" t="s">
        <v>58</v>
      </c>
      <c r="C5" s="2" t="s">
        <v>59</v>
      </c>
      <c r="D5" s="2" t="s">
        <v>56</v>
      </c>
      <c r="E5" s="2" t="s">
        <v>60</v>
      </c>
    </row>
    <row r="6" spans="1:5">
      <c r="A6" s="2" t="s">
        <v>53</v>
      </c>
      <c r="B6" s="2" t="s">
        <v>61</v>
      </c>
      <c r="C6" s="2" t="s">
        <v>62</v>
      </c>
      <c r="D6" s="2" t="s">
        <v>56</v>
      </c>
      <c r="E6" s="2" t="s">
        <v>63</v>
      </c>
    </row>
    <row r="7" spans="1:5">
      <c r="A7" s="2" t="s">
        <v>64</v>
      </c>
      <c r="B7" s="2" t="s">
        <v>65</v>
      </c>
      <c r="C7" s="2" t="s">
        <v>66</v>
      </c>
      <c r="D7" s="2" t="s">
        <v>67</v>
      </c>
      <c r="E7" s="2" t="s">
        <v>68</v>
      </c>
    </row>
    <row r="8" spans="1:5">
      <c r="A8" s="2" t="s">
        <v>64</v>
      </c>
      <c r="B8" s="2" t="s">
        <v>61</v>
      </c>
      <c r="C8" s="2" t="s">
        <v>69</v>
      </c>
      <c r="D8" s="2" t="s">
        <v>67</v>
      </c>
      <c r="E8" s="2" t="s">
        <v>70</v>
      </c>
    </row>
    <row r="9" spans="1:5">
      <c r="A9" s="2" t="s">
        <v>71</v>
      </c>
      <c r="B9" s="2" t="s">
        <v>72</v>
      </c>
      <c r="C9" s="2" t="s">
        <v>73</v>
      </c>
      <c r="D9" s="2" t="s">
        <v>56</v>
      </c>
      <c r="E9" s="2" t="s">
        <v>74</v>
      </c>
    </row>
    <row r="10" spans="1:5">
      <c r="A10" s="2" t="s">
        <v>71</v>
      </c>
      <c r="B10" s="2" t="s">
        <v>75</v>
      </c>
      <c r="C10" s="2" t="s">
        <v>76</v>
      </c>
      <c r="D10" s="2" t="s">
        <v>56</v>
      </c>
      <c r="E10" s="2" t="s">
        <v>77</v>
      </c>
    </row>
    <row r="11" spans="1:5">
      <c r="A11" s="2" t="s">
        <v>71</v>
      </c>
      <c r="B11" s="2" t="s">
        <v>78</v>
      </c>
      <c r="C11" s="2" t="s">
        <v>79</v>
      </c>
      <c r="D11" s="2" t="s">
        <v>56</v>
      </c>
      <c r="E11" s="2" t="s">
        <v>80</v>
      </c>
    </row>
    <row r="12" spans="1:5">
      <c r="A12" s="2" t="s">
        <v>71</v>
      </c>
      <c r="B12" s="2" t="s">
        <v>81</v>
      </c>
      <c r="C12" s="2" t="s">
        <v>82</v>
      </c>
      <c r="D12" s="2" t="s">
        <v>56</v>
      </c>
      <c r="E12" s="2" t="s">
        <v>83</v>
      </c>
    </row>
    <row r="15" spans="1:5">
      <c r="A15" s="6" t="s">
        <v>84</v>
      </c>
      <c r="B15" s="10" t="s">
        <v>85</v>
      </c>
      <c r="C15" s="10"/>
      <c r="D15" s="10"/>
      <c r="E15" s="10"/>
    </row>
    <row r="19" spans="10:10">
      <c r="J19" t="s">
        <v>135</v>
      </c>
    </row>
  </sheetData>
  <mergeCells count="2">
    <mergeCell ref="B15:E15"/>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1"/>
  <sheetViews>
    <sheetView workbookViewId="0">
      <pane ySplit="2" topLeftCell="A3" activePane="bottomLeft" state="frozen"/>
      <selection pane="bottomLeft" sqref="A1:D1"/>
    </sheetView>
  </sheetViews>
  <sheetFormatPr defaultRowHeight="14.4"/>
  <cols>
    <col min="1" max="1" width="28" customWidth="1"/>
    <col min="2" max="2" width="90" customWidth="1"/>
  </cols>
  <sheetData>
    <row r="1" spans="1:4" ht="24" customHeight="1">
      <c r="A1" s="8" t="s">
        <v>86</v>
      </c>
      <c r="B1" s="9"/>
      <c r="C1" s="9"/>
      <c r="D1" s="9"/>
    </row>
    <row r="3" spans="1:4">
      <c r="A3" s="1" t="s">
        <v>87</v>
      </c>
      <c r="B3" s="1" t="s">
        <v>1</v>
      </c>
    </row>
    <row r="4" spans="1:4">
      <c r="A4" s="2" t="s">
        <v>88</v>
      </c>
      <c r="B4" s="2" t="s">
        <v>89</v>
      </c>
    </row>
    <row r="5" spans="1:4" ht="28.8">
      <c r="A5" s="2" t="s">
        <v>90</v>
      </c>
      <c r="B5" s="2" t="s">
        <v>91</v>
      </c>
    </row>
    <row r="6" spans="1:4">
      <c r="A6" s="2" t="s">
        <v>10</v>
      </c>
      <c r="B6" s="2" t="s">
        <v>92</v>
      </c>
    </row>
    <row r="7" spans="1:4">
      <c r="A7" s="2" t="s">
        <v>93</v>
      </c>
      <c r="B7" s="2" t="s">
        <v>13</v>
      </c>
    </row>
    <row r="8" spans="1:4">
      <c r="A8" s="2" t="s">
        <v>94</v>
      </c>
      <c r="B8" s="2" t="s">
        <v>95</v>
      </c>
    </row>
    <row r="9" spans="1:4">
      <c r="A9" s="2" t="s">
        <v>96</v>
      </c>
      <c r="B9" s="2" t="s">
        <v>97</v>
      </c>
    </row>
    <row r="12" spans="1:4">
      <c r="A12" s="3" t="s">
        <v>98</v>
      </c>
      <c r="B12" s="3"/>
    </row>
    <row r="13" spans="1:4">
      <c r="A13" s="11" t="s">
        <v>99</v>
      </c>
      <c r="B13" s="12"/>
    </row>
    <row r="14" spans="1:4">
      <c r="A14" s="12"/>
      <c r="B14" s="12"/>
    </row>
    <row r="15" spans="1:4">
      <c r="A15" s="12"/>
      <c r="B15" s="12"/>
    </row>
    <row r="16" spans="1:4">
      <c r="A16" s="12"/>
      <c r="B16" s="12"/>
    </row>
    <row r="17" spans="1:2">
      <c r="A17" s="12"/>
      <c r="B17" s="12"/>
    </row>
    <row r="18" spans="1:2">
      <c r="A18" s="12"/>
      <c r="B18" s="12"/>
    </row>
    <row r="19" spans="1:2">
      <c r="A19" s="12"/>
      <c r="B19" s="12"/>
    </row>
    <row r="20" spans="1:2">
      <c r="A20" s="12"/>
      <c r="B20" s="12"/>
    </row>
    <row r="21" spans="1:2">
      <c r="A21" s="12"/>
      <c r="B21" s="12"/>
    </row>
    <row r="22" spans="1:2">
      <c r="A22" s="12"/>
      <c r="B22" s="12"/>
    </row>
    <row r="23" spans="1:2">
      <c r="A23" s="12"/>
      <c r="B23" s="12"/>
    </row>
    <row r="24" spans="1:2">
      <c r="A24" s="12"/>
      <c r="B24" s="12"/>
    </row>
    <row r="25" spans="1:2">
      <c r="A25" s="12"/>
      <c r="B25" s="12"/>
    </row>
    <row r="26" spans="1:2">
      <c r="A26" s="12"/>
      <c r="B26" s="12"/>
    </row>
    <row r="27" spans="1:2">
      <c r="A27" s="12"/>
      <c r="B27" s="12"/>
    </row>
    <row r="28" spans="1:2">
      <c r="A28" s="12"/>
      <c r="B28" s="12"/>
    </row>
    <row r="29" spans="1:2">
      <c r="A29" s="12"/>
      <c r="B29" s="12"/>
    </row>
    <row r="30" spans="1:2">
      <c r="A30" s="12"/>
      <c r="B30" s="12"/>
    </row>
    <row r="31" spans="1:2">
      <c r="A31" s="12"/>
      <c r="B31" s="12"/>
    </row>
  </sheetData>
  <mergeCells count="2">
    <mergeCell ref="A1:D1"/>
    <mergeCell ref="A13:B3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workbookViewId="0">
      <pane ySplit="2" topLeftCell="A3" activePane="bottomLeft" state="frozen"/>
      <selection pane="bottomLeft" sqref="A1:D1"/>
    </sheetView>
  </sheetViews>
  <sheetFormatPr defaultRowHeight="14.4"/>
  <cols>
    <col min="1" max="1" width="26" customWidth="1"/>
    <col min="2" max="2" width="92" customWidth="1"/>
  </cols>
  <sheetData>
    <row r="1" spans="1:4" ht="24" customHeight="1">
      <c r="A1" s="8" t="s">
        <v>100</v>
      </c>
      <c r="B1" s="9"/>
      <c r="C1" s="9"/>
      <c r="D1" s="9"/>
    </row>
    <row r="3" spans="1:4">
      <c r="A3" s="1" t="s">
        <v>101</v>
      </c>
      <c r="B3" s="1" t="s">
        <v>102</v>
      </c>
    </row>
    <row r="4" spans="1:4">
      <c r="A4" s="2" t="s">
        <v>103</v>
      </c>
      <c r="B4" s="2" t="s">
        <v>104</v>
      </c>
    </row>
    <row r="5" spans="1:4">
      <c r="A5" s="2" t="s">
        <v>105</v>
      </c>
      <c r="B5" s="2" t="s">
        <v>106</v>
      </c>
    </row>
    <row r="6" spans="1:4">
      <c r="A6" s="2" t="s">
        <v>107</v>
      </c>
      <c r="B6" s="2" t="s">
        <v>108</v>
      </c>
    </row>
    <row r="7" spans="1:4">
      <c r="A7" s="2" t="s">
        <v>109</v>
      </c>
      <c r="B7" s="2" t="s">
        <v>110</v>
      </c>
    </row>
    <row r="8" spans="1:4">
      <c r="A8" s="2" t="s">
        <v>111</v>
      </c>
      <c r="B8" s="2" t="s">
        <v>112</v>
      </c>
    </row>
    <row r="9" spans="1:4">
      <c r="A9" s="2" t="s">
        <v>113</v>
      </c>
      <c r="B9" s="2" t="s">
        <v>114</v>
      </c>
    </row>
    <row r="11" spans="1:4">
      <c r="A11" s="6" t="s">
        <v>115</v>
      </c>
      <c r="B11" s="6" t="s">
        <v>116</v>
      </c>
    </row>
  </sheetData>
  <mergeCells count="1">
    <mergeCell ref="A1: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2"/>
  <sheetViews>
    <sheetView workbookViewId="0">
      <pane ySplit="2" topLeftCell="A3" activePane="bottomLeft" state="frozen"/>
      <selection pane="bottomLeft" sqref="A1:B1"/>
    </sheetView>
  </sheetViews>
  <sheetFormatPr defaultRowHeight="14.4"/>
  <cols>
    <col min="1" max="2" width="55" customWidth="1"/>
  </cols>
  <sheetData>
    <row r="1" spans="1:2" ht="24" customHeight="1">
      <c r="A1" s="8" t="s">
        <v>117</v>
      </c>
      <c r="B1" s="9"/>
    </row>
    <row r="3" spans="1:2">
      <c r="A3" s="13" t="s">
        <v>118</v>
      </c>
      <c r="B3" s="12"/>
    </row>
    <row r="4" spans="1:2">
      <c r="A4" s="12"/>
      <c r="B4" s="12"/>
    </row>
    <row r="5" spans="1:2">
      <c r="A5" s="12"/>
      <c r="B5" s="12"/>
    </row>
    <row r="6" spans="1:2">
      <c r="A6" s="12"/>
      <c r="B6" s="12"/>
    </row>
    <row r="7" spans="1:2">
      <c r="A7" s="12"/>
      <c r="B7" s="12"/>
    </row>
    <row r="8" spans="1:2">
      <c r="A8" s="12"/>
      <c r="B8" s="12"/>
    </row>
    <row r="9" spans="1:2">
      <c r="A9" s="12"/>
      <c r="B9" s="12"/>
    </row>
    <row r="10" spans="1:2">
      <c r="A10" s="12"/>
      <c r="B10" s="12"/>
    </row>
    <row r="11" spans="1:2">
      <c r="A11" s="12"/>
      <c r="B11" s="12"/>
    </row>
    <row r="12" spans="1:2">
      <c r="A12" s="12"/>
      <c r="B12" s="12"/>
    </row>
  </sheetData>
  <mergeCells count="2">
    <mergeCell ref="A3:B12"/>
    <mergeCell ref="A1:B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8"/>
  <sheetViews>
    <sheetView workbookViewId="0">
      <pane ySplit="2" topLeftCell="A3" activePane="bottomLeft" state="frozen"/>
      <selection pane="bottomLeft" sqref="A1:C1"/>
    </sheetView>
  </sheetViews>
  <sheetFormatPr defaultRowHeight="14.4"/>
  <cols>
    <col min="1" max="1" width="28" customWidth="1"/>
    <col min="2" max="2" width="55" customWidth="1"/>
    <col min="3" max="3" width="24" customWidth="1"/>
  </cols>
  <sheetData>
    <row r="1" spans="1:3" ht="24" customHeight="1">
      <c r="A1" s="8" t="s">
        <v>119</v>
      </c>
      <c r="B1" s="9"/>
      <c r="C1" s="9"/>
    </row>
    <row r="3" spans="1:3">
      <c r="A3" s="1" t="s">
        <v>120</v>
      </c>
      <c r="B3" s="1" t="s">
        <v>121</v>
      </c>
      <c r="C3" s="1" t="s">
        <v>122</v>
      </c>
    </row>
    <row r="4" spans="1:3">
      <c r="A4" s="2" t="s">
        <v>123</v>
      </c>
      <c r="B4" s="2" t="s">
        <v>124</v>
      </c>
      <c r="C4" s="2" t="s">
        <v>125</v>
      </c>
    </row>
    <row r="5" spans="1:3">
      <c r="A5" s="2" t="s">
        <v>126</v>
      </c>
      <c r="B5" s="2" t="s">
        <v>127</v>
      </c>
      <c r="C5" s="2" t="s">
        <v>125</v>
      </c>
    </row>
    <row r="6" spans="1:3">
      <c r="A6" s="2" t="s">
        <v>128</v>
      </c>
      <c r="B6" s="2" t="s">
        <v>129</v>
      </c>
      <c r="C6" s="2" t="s">
        <v>125</v>
      </c>
    </row>
    <row r="7" spans="1:3">
      <c r="A7" s="2" t="s">
        <v>130</v>
      </c>
      <c r="B7" s="2" t="s">
        <v>131</v>
      </c>
      <c r="C7" s="2" t="s">
        <v>125</v>
      </c>
    </row>
    <row r="8" spans="1:3">
      <c r="A8" s="2" t="s">
        <v>132</v>
      </c>
      <c r="B8" s="2" t="s">
        <v>133</v>
      </c>
      <c r="C8" s="2" t="s">
        <v>134</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Summary</vt:lpstr>
      <vt:lpstr>Bill of Materials</vt:lpstr>
      <vt:lpstr>Wiring</vt:lpstr>
      <vt:lpstr>Software &amp; Logging</vt:lpstr>
      <vt:lpstr>Rooftop Installation</vt:lpstr>
      <vt:lpstr>Methodology</vt:lpstr>
      <vt:lpstr>Analysis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Munim Qureshi</dc:creator>
  <cp:lastModifiedBy>Mohamed Faheem</cp:lastModifiedBy>
  <dcterms:created xsi:type="dcterms:W3CDTF">2026-04-28T16:47:09Z</dcterms:created>
  <dcterms:modified xsi:type="dcterms:W3CDTF">2026-04-28T19:53:17Z</dcterms:modified>
</cp:coreProperties>
</file>