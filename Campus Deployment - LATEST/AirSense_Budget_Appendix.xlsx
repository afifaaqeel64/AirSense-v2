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8F1DEC9-85C9-46AD-8BB7-4C1FF4851D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ardware Budget" sheetId="1" r:id="rId1"/>
    <sheet name="Software &amp; Infrastructure" sheetId="2" r:id="rId2"/>
    <sheet name="Pilot Budget Summary" sheetId="3" r:id="rId3"/>
    <sheet name="Vendor Directory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  <c r="B11" i="3"/>
  <c r="C14" i="2"/>
  <c r="H19" i="1"/>
  <c r="H18" i="1"/>
  <c r="H17" i="1"/>
  <c r="H16" i="1"/>
  <c r="H21" i="1" s="1"/>
  <c r="H15" i="1"/>
  <c r="H14" i="1"/>
  <c r="H13" i="1"/>
  <c r="H12" i="1"/>
  <c r="H11" i="1"/>
  <c r="H10" i="1"/>
  <c r="H9" i="1"/>
  <c r="H8" i="1"/>
  <c r="H7" i="1"/>
  <c r="H6" i="1"/>
  <c r="H5" i="1"/>
  <c r="H4" i="1"/>
  <c r="H22" i="1" s="1"/>
  <c r="H20" i="1" l="1"/>
</calcChain>
</file>

<file path=xl/sharedStrings.xml><?xml version="1.0" encoding="utf-8"?>
<sst xmlns="http://schemas.openxmlformats.org/spreadsheetml/2006/main" count="235" uniqueCount="197">
  <si>
    <t>AirSense Pakistan — Campus Pilot Hardware Budget</t>
  </si>
  <si>
    <t>Beaconhouse International College, Islamabad  |  Pilot Phase 1  |  3-Month Deployment</t>
  </si>
  <si>
    <t>#</t>
  </si>
  <si>
    <t>Component / Item</t>
  </si>
  <si>
    <t>Model / Specification</t>
  </si>
  <si>
    <t>Vendor / Source</t>
  </si>
  <si>
    <t>Category</t>
  </si>
  <si>
    <t>Qty</t>
  </si>
  <si>
    <t>Unit Price (PKR)</t>
  </si>
  <si>
    <t>Total (PKR)</t>
  </si>
  <si>
    <t>Notes</t>
  </si>
  <si>
    <t>PM Sensor</t>
  </si>
  <si>
    <t>PMS7003 PM1/PM2.5/PM10 Laser Sensor</t>
  </si>
  <si>
    <t>Daraz.pk</t>
  </si>
  <si>
    <t>Sensing</t>
  </si>
  <si>
    <t>Primary data source; outputs PM1, PM2.5, PM10 simultaneously</t>
  </si>
  <si>
    <t>Microcontroller</t>
  </si>
  <si>
    <t>ESP32 WROOM-32D Development Board</t>
  </si>
  <si>
    <t>Hallroad Lahore / Epro</t>
  </si>
  <si>
    <t>Control &amp; Comms</t>
  </si>
  <si>
    <t>Built-in WiFi + Bluetooth; handles sensor polling &amp; cloud push</t>
  </si>
  <si>
    <t>Environmental Sensor</t>
  </si>
  <si>
    <t>BME280 Temperature/Humidity/Pressure</t>
  </si>
  <si>
    <t>Hallroad Lahore</t>
  </si>
  <si>
    <t>Key forecasting covariates: temp, RH, barometric pressure</t>
  </si>
  <si>
    <t>Data Logging Module</t>
  </si>
  <si>
    <t>Arduino MicroSD Card Reader Module</t>
  </si>
  <si>
    <t>Data Storage</t>
  </si>
  <si>
    <t>Local backup logging; essential for offline data recovery</t>
  </si>
  <si>
    <t>Storage Media</t>
  </si>
  <si>
    <t>Samsung EVO Plus 16 GB MicroSD Card</t>
  </si>
  <si>
    <t>Approx. 18 months storage at 1-min intervals</t>
  </si>
  <si>
    <t>Weather Enclosure</t>
  </si>
  <si>
    <t>Waterproof DIY Enclosure (IP65-rated)</t>
  </si>
  <si>
    <t>Protection</t>
  </si>
  <si>
    <t>Houses ESP32, BME280, SD module; protects from rain &amp; dust</t>
  </si>
  <si>
    <t>Connectivity Wiring</t>
  </si>
  <si>
    <t>20 cm Mixed Jumper Wire Kit (40 pcs)</t>
  </si>
  <si>
    <t>Wiring</t>
  </si>
  <si>
    <t>Internal sensor connections</t>
  </si>
  <si>
    <t>Power Supply</t>
  </si>
  <si>
    <t>5 V 2 A Power Supply with Cable</t>
  </si>
  <si>
    <t>Power</t>
  </si>
  <si>
    <t>Continuous mains power for rooftop unit</t>
  </si>
  <si>
    <t>Mounting — Cable Ties</t>
  </si>
  <si>
    <t>100 pcs Cable Ties (Assorted)</t>
  </si>
  <si>
    <t>Mounting</t>
  </si>
  <si>
    <t>Cable management and sensor securing</t>
  </si>
  <si>
    <t>Mounting — Clamps</t>
  </si>
  <si>
    <t>Pack of 2 Stainless 2-inch Hose Clamps</t>
  </si>
  <si>
    <t>Pipe/rail mounting on rooftop parapet</t>
  </si>
  <si>
    <t>Radiation Shield</t>
  </si>
  <si>
    <t>White Plastic Plate Set (DIY Stevenson Screen)</t>
  </si>
  <si>
    <t>Prevents solar heating bias on BME280 readings</t>
  </si>
  <si>
    <t>Rain Proxy Sensor</t>
  </si>
  <si>
    <t>Raindrop Detection Sensor Module</t>
  </si>
  <si>
    <t>Flags wet/rain events as forecasting covariate</t>
  </si>
  <si>
    <t>Validation Anemometer</t>
  </si>
  <si>
    <t>Handheld Anemometer (Field Use)</t>
  </si>
  <si>
    <t>Hallroad Lahore / Online</t>
  </si>
  <si>
    <t>Validation</t>
  </si>
  <si>
    <t>Spot-check local wind vs. public API; validates hybrid data strategy</t>
  </si>
  <si>
    <t>Power Extension Cable</t>
  </si>
  <si>
    <t>10 m Heavy-Duty Extension Cable (3-pin)</t>
  </si>
  <si>
    <t>Local Hardware Store</t>
  </si>
  <si>
    <t>ADDITION: Required if roof socket is more than 2 m from unit</t>
  </si>
  <si>
    <t>Weatherproof Sealant</t>
  </si>
  <si>
    <t>Neutral-Cure Silicone Sealant (300 ml)</t>
  </si>
  <si>
    <t>ADDITION: Seal cable entry points on enclosure against moisture</t>
  </si>
  <si>
    <t>Mounting Fasteners</t>
  </si>
  <si>
    <t>M4/M6 Stainless Bolts, Nuts, Washers (Set)</t>
  </si>
  <si>
    <t>ADDITION: Permanent rooftop bracket/rail fastening</t>
  </si>
  <si>
    <t>Original Core Build (from Revised Budget Document)</t>
  </si>
  <si>
    <t>Validation Tool + Recommended Additions</t>
  </si>
  <si>
    <t>TOTAL RECOMMENDED HARDWARE BUDGET (PKR)</t>
  </si>
  <si>
    <t>LEGEND:</t>
  </si>
  <si>
    <t>White / Grey rows</t>
  </si>
  <si>
    <t>Original budget items from the revised forecasting framework document</t>
  </si>
  <si>
    <t>Amber rows</t>
  </si>
  <si>
    <t>Recommended additions for a complete campus rooftop deployment</t>
  </si>
  <si>
    <t>Blue cost figures</t>
  </si>
  <si>
    <t>Unit prices sourced from Pakistan local markets (Daraz.pk, Hallroad Lahore)</t>
  </si>
  <si>
    <t>AirSense Pakistan — Software &amp; Infrastructure Cost Overview</t>
  </si>
  <si>
    <t>Phase 1 (Pilot) focuses on data collection and model training — most infrastructure costs deferred to Phase 2</t>
  </si>
  <si>
    <t>Service / Resource</t>
  </si>
  <si>
    <t>Description</t>
  </si>
  <si>
    <t>Phase 1 Cost
(Monthly PKR)</t>
  </si>
  <si>
    <t>Phase 2 Cost
(Monthly PKR)</t>
  </si>
  <si>
    <t>Annual Est.
(PKR)</t>
  </si>
  <si>
    <t>Tier / Plan</t>
  </si>
  <si>
    <t>Cloud Hosting</t>
  </si>
  <si>
    <t>Backend API + data receiver endpoint</t>
  </si>
  <si>
    <t>Phase 2 onwards</t>
  </si>
  <si>
    <t>Free Tier (Render / Railway)</t>
  </si>
  <si>
    <t>Free-tier sufficient for pilot; upgrade when serving users</t>
  </si>
  <si>
    <t>Database Storage</t>
  </si>
  <si>
    <t>Time-series PM2.5 + weather data (cloud)</t>
  </si>
  <si>
    <t>Firebase / Supabase Free</t>
  </si>
  <si>
    <t>Free tier: 1 GB realtime DB + 5 GB Firestore</t>
  </si>
  <si>
    <t>ML Compute</t>
  </si>
  <si>
    <t>Model training, validation, inference</t>
  </si>
  <si>
    <t>PKR 0</t>
  </si>
  <si>
    <t>Google Colab Free / Local</t>
  </si>
  <si>
    <t>Team laptops + Colab free tier sufficient for pilot</t>
  </si>
  <si>
    <t>Version Control</t>
  </si>
  <si>
    <t>Git repository (code + model versioning)</t>
  </si>
  <si>
    <t>GitHub Free</t>
  </si>
  <si>
    <t>Unlimited private repos on free plan</t>
  </si>
  <si>
    <t>Domain Name</t>
  </si>
  <si>
    <t>airsense.pk or similar (optional for pilot)</t>
  </si>
  <si>
    <t>PKR 2,000/yr</t>
  </si>
  <si>
    <t>One-time annual</t>
  </si>
  <si>
    <t>Not required in Phase 1; useful for Phase 2 client demos</t>
  </si>
  <si>
    <t>Public Weather API</t>
  </si>
  <si>
    <t>Wind speed/direction/rainfall (hybrid strategy)</t>
  </si>
  <si>
    <t>Open-Meteo / WTTR.in Free</t>
  </si>
  <si>
    <t>Free public APIs; no key required for educational use</t>
  </si>
  <si>
    <t>Data Visualisation</t>
  </si>
  <si>
    <t>Dashboard / results display</t>
  </si>
  <si>
    <t>Grafana OSS / Streamlit</t>
  </si>
  <si>
    <t>Open-source; free hosting via Streamlit Cloud</t>
  </si>
  <si>
    <t>SSL Certificate</t>
  </si>
  <si>
    <t>HTTPS security for API endpoints</t>
  </si>
  <si>
    <t>Let's Encrypt (Free)</t>
  </si>
  <si>
    <t>Free automated certificate via Render/Netlify</t>
  </si>
  <si>
    <t>Backup Storage</t>
  </si>
  <si>
    <t>Off-device data backup</t>
  </si>
  <si>
    <t>Google Drive / Mega</t>
  </si>
  <si>
    <t>Free 15 GB on Google Drive sufficient for pilot</t>
  </si>
  <si>
    <t>Contingency / Misc</t>
  </si>
  <si>
    <t>API overages, paid tools, incidentals</t>
  </si>
  <si>
    <t>Buffer</t>
  </si>
  <si>
    <t>Recommend 10% buffer in Phase 2 budget planning</t>
  </si>
  <si>
    <t>PHASE 1 TOTAL MONTHLY SOFTWARE COST</t>
  </si>
  <si>
    <t>IMPORTANT NOTE: Phase 1 (3-month pilot) software and infrastructure costs are PKR 0 as all required tools operate within free tiers. Budget planning for Phase 2 (product development and user-facing deployment) should allocate approximately PKR 7,800/month for hosting, database, and API costs. These are not included in the current campus proposal budget request.</t>
  </si>
  <si>
    <t>AirSense Pakistan — 3-Month Campus Pilot
Total Budget Summary</t>
  </si>
  <si>
    <t>Beaconhouse International College, Islamabad  |  Submitted to: Head of Institute / Department Heads</t>
  </si>
  <si>
    <t>Budget Category</t>
  </si>
  <si>
    <t>Phase 1 Cost (PKR)</t>
  </si>
  <si>
    <t>Phase 2 Cost (PKR)</t>
  </si>
  <si>
    <t>Responsibility</t>
  </si>
  <si>
    <t>Hardware — Original Core Build</t>
  </si>
  <si>
    <t>AirSense Team</t>
  </si>
  <si>
    <t>One-time purchase; all items sourced locally</t>
  </si>
  <si>
    <t>Hardware — Validation + Additions</t>
  </si>
  <si>
    <t>Anemometer + cable + sealant + fasteners</t>
  </si>
  <si>
    <t>Cloud Hosting &amp; API Services</t>
  </si>
  <si>
    <t>AirSense Team (self-funded)</t>
  </si>
  <si>
    <t>Free tier in Phase 1; paid from Phase 2</t>
  </si>
  <si>
    <t>Optional; one-time annual fee</t>
  </si>
  <si>
    <t>Development Tools &amp; Licenses</t>
  </si>
  <si>
    <t>N/A</t>
  </si>
  <si>
    <t>All open-source; no licence fees</t>
  </si>
  <si>
    <t>Data Collection &amp; Lab Hours</t>
  </si>
  <si>
    <t>Team contribution</t>
  </si>
  <si>
    <t>Volunteer effort; no direct cost to college</t>
  </si>
  <si>
    <t>Miscellaneous / Contingency (5%)</t>
  </si>
  <si>
    <t>5% of hardware for spares/consumables</t>
  </si>
  <si>
    <t>TOTAL BUDGET REQUEST FROM CAMPUS</t>
  </si>
  <si>
    <t>BUDGET NOTES:
1. The campus budget request covers ONLY Phase 1 hardware (one-time procurement): PKR 12,536 + 5% contingency.
2. All software, cloud, and hosting costs in Phase 1 are ZERO — free tiers of open-source and cloud platforms are sufficient.
3. Phase 2 (product development, user-facing launch) software costs of PKR ~10,400/month are NOT part of this proposal and will be covered through project fundraising and competition prize funds.
4. Hardware is a one-time cost. All components remain property of the AirSense team and the college post-pilot.
5. Contingency of 5% (PKR 627) is included for minor component replacements or additional wiring needs.</t>
  </si>
  <si>
    <t>AirSense Pakistan — Vendor &amp; Procurement Directory</t>
  </si>
  <si>
    <t>Vendor Name</t>
  </si>
  <si>
    <t>Platform / Address</t>
  </si>
  <si>
    <t>Estimated Delivery</t>
  </si>
  <si>
    <t>Reliability</t>
  </si>
  <si>
    <t>Preferred For</t>
  </si>
  <si>
    <t>URL / Contact</t>
  </si>
  <si>
    <t>www.daraz.pk (nationwide e-commerce)</t>
  </si>
  <si>
    <t>Online Marketplace</t>
  </si>
  <si>
    <t>2-5 business days</t>
  </si>
  <si>
    <t>High</t>
  </si>
  <si>
    <t>PM sensor, microSD, jumper wires, enclosure, ties</t>
  </si>
  <si>
    <t>https://daraz.pk</t>
  </si>
  <si>
    <t>Hall Road Electronics Market, Lahore</t>
  </si>
  <si>
    <t>Electronics Wholesale</t>
  </si>
  <si>
    <t>Same day / 1-2 days</t>
  </si>
  <si>
    <t>ESP32, BME280, SD module, rain sensor, power supply</t>
  </si>
  <si>
    <t>Physical Market, Lahore</t>
  </si>
  <si>
    <t>Epro Pakistan</t>
  </si>
  <si>
    <t>www.epro.pk</t>
  </si>
  <si>
    <t>Online Electronics</t>
  </si>
  <si>
    <t>3-5 business days</t>
  </si>
  <si>
    <t>Medium-High</t>
  </si>
  <si>
    <t>ESP32 boards, sensors (alternative source)</t>
  </si>
  <si>
    <t>https://epro.pk</t>
  </si>
  <si>
    <t>Nearest hardware / electrical shop, Islamabad</t>
  </si>
  <si>
    <t>Hardware &amp; Electrical</t>
  </si>
  <si>
    <t>Same day</t>
  </si>
  <si>
    <t>Extension cable, silicone sealant, mounting fasteners</t>
  </si>
  <si>
    <t>Local procurement</t>
  </si>
  <si>
    <t>Amazon / AliExpress</t>
  </si>
  <si>
    <t>International (backup only)</t>
  </si>
  <si>
    <t>International Import</t>
  </si>
  <si>
    <t>10-25 business days</t>
  </si>
  <si>
    <t>Medium</t>
  </si>
  <si>
    <t>Use only if local stock unavailable</t>
  </si>
  <si>
    <t>Not recommended for pilot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</si>
</sst>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KR &quot;#,##0"/>
  </numFmts>
  <fonts count="2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10"/>
      <color rgb="FF00008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A1628"/>
      <name val="Arial"/>
      <charset val="1"/>
    </font>
    <font>
      <b/>
      <sz val="11"/>
      <color rgb="FF0A1628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0A1628"/>
      <name val="Arial"/>
      <charset val="1"/>
    </font>
    <font>
      <sz val="9"/>
      <color rgb="FF444444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2E7D32"/>
      <name val="Arial"/>
      <charset val="1"/>
    </font>
    <font>
      <i/>
      <sz val="10"/>
      <color rgb="FF0A1628"/>
      <name val="Arial"/>
      <charset val="1"/>
    </font>
    <font>
      <b/>
      <sz val="16"/>
      <color rgb="FFFFFFFF"/>
      <name val="Arial"/>
      <charset val="1"/>
    </font>
    <font>
      <b/>
      <sz val="10"/>
      <color rgb="FF000080"/>
      <name val="Arial"/>
      <charset val="1"/>
    </font>
    <font>
      <sz val="10"/>
      <color rgb="FF888888"/>
      <name val="Arial"/>
      <charset val="1"/>
    </font>
    <font>
      <sz val="10"/>
      <color rgb="FF2E7D32"/>
      <name val="Arial"/>
      <charset val="1"/>
    </font>
    <font>
      <sz val="9"/>
      <color rgb="FF0A1628"/>
      <name val="Arial"/>
      <charset val="1"/>
    </font>
    <font>
      <b/>
      <sz val="9"/>
      <color rgb="FF2E7D32"/>
      <name val="Arial"/>
      <charset val="1"/>
    </font>
    <font>
      <sz val="9"/>
      <color rgb="FF0000EE"/>
      <name val="Arial"/>
      <charset val="1"/>
    </font>
    <font>
      <b/>
      <sz val="9"/>
      <color rgb="FFF5A623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1A2E4A"/>
        <bgColor rgb="FF003366"/>
      </patternFill>
    </fill>
    <fill>
      <patternFill patternType="solid">
        <fgColor rgb="FF0E9AA7"/>
        <bgColor rgb="FF008080"/>
      </patternFill>
    </fill>
    <fill>
      <patternFill patternType="solid">
        <fgColor rgb="FFFFFFFF"/>
        <bgColor rgb="FFF2F5F8"/>
      </patternFill>
    </fill>
    <fill>
      <patternFill patternType="solid">
        <fgColor rgb="FFF2F5F8"/>
        <bgColor rgb="FFE8F5E9"/>
      </patternFill>
    </fill>
    <fill>
      <patternFill patternType="solid">
        <fgColor rgb="FFFEF3DC"/>
        <bgColor rgb="FFF2F5F8"/>
      </patternFill>
    </fill>
    <fill>
      <patternFill patternType="solid">
        <fgColor rgb="FFE8F5E9"/>
        <bgColor rgb="FFF2F5F8"/>
      </patternFill>
    </fill>
    <fill>
      <patternFill patternType="solid">
        <fgColor rgb="FF2E7D32"/>
        <bgColor rgb="FF008000"/>
      </patternFill>
    </fill>
  </fills>
  <borders count="5">
    <border>
      <left/>
      <right/>
      <top/>
      <bottom/>
      <diagonal/>
    </border>
    <border>
      <left style="thin">
        <color rgb="FFBBCAD6"/>
      </left>
      <right style="thin">
        <color rgb="FFBBCAD6"/>
      </right>
      <top style="thin">
        <color rgb="FFBBCAD6"/>
      </top>
      <bottom style="thin">
        <color rgb="FFBBCAD6"/>
      </bottom>
      <diagonal/>
    </border>
    <border>
      <left style="thin">
        <color rgb="FFBBCAD6"/>
      </left>
      <right/>
      <top style="thin">
        <color rgb="FFBBCAD6"/>
      </top>
      <bottom style="thin">
        <color rgb="FFBBCAD6"/>
      </bottom>
      <diagonal/>
    </border>
    <border>
      <left style="thin">
        <color rgb="FFBBCAD6"/>
      </left>
      <right/>
      <top style="thin">
        <color rgb="FFBBCAD6"/>
      </top>
      <bottom/>
      <diagonal/>
    </border>
    <border>
      <left/>
      <right/>
      <top/>
      <bottom style="thin">
        <color rgb="FFBBCAD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3" fillId="6" borderId="3" xfId="0" applyFont="1" applyFill="1" applyBorder="1" applyAlignment="1">
      <alignment horizontal="left" vertical="top" wrapText="1"/>
    </xf>
    <xf numFmtId="0" fontId="19" fillId="2" borderId="0" xfId="0" applyFont="1" applyFill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1" fillId="4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3" fontId="10" fillId="7" borderId="1" xfId="0" applyNumberFormat="1" applyFont="1" applyFill="1" applyBorder="1" applyAlignment="1">
      <alignment horizontal="right" vertical="center"/>
    </xf>
    <xf numFmtId="0" fontId="0" fillId="7" borderId="0" xfId="0" applyFill="1"/>
    <xf numFmtId="3" fontId="12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3" fontId="17" fillId="8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7" fillId="6" borderId="1" xfId="0" applyFont="1" applyFill="1" applyBorder="1" applyAlignment="1">
      <alignment horizontal="left" vertical="center"/>
    </xf>
    <xf numFmtId="3" fontId="20" fillId="6" borderId="1" xfId="0" applyNumberFormat="1" applyFont="1" applyFill="1" applyBorder="1" applyAlignment="1">
      <alignment horizontal="right" vertical="center"/>
    </xf>
    <xf numFmtId="3" fontId="21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3" fontId="20" fillId="5" borderId="1" xfId="0" applyNumberFormat="1" applyFont="1" applyFill="1" applyBorder="1" applyAlignment="1">
      <alignment horizontal="right" vertical="center"/>
    </xf>
    <xf numFmtId="3" fontId="21" fillId="5" borderId="1" xfId="0" applyNumberFormat="1" applyFont="1" applyFill="1" applyBorder="1" applyAlignment="1">
      <alignment horizontal="right" vertical="center"/>
    </xf>
    <xf numFmtId="3" fontId="22" fillId="6" borderId="1" xfId="0" applyNumberFormat="1" applyFont="1" applyFill="1" applyBorder="1" applyAlignment="1">
      <alignment horizontal="right" vertical="center"/>
    </xf>
    <xf numFmtId="3" fontId="22" fillId="5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24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AA7"/>
      <rgbColor rgb="FFBBCAD6"/>
      <rgbColor rgb="FF888888"/>
      <rgbColor rgb="FF9999FF"/>
      <rgbColor rgb="FF993366"/>
      <rgbColor rgb="FFFEF3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03366"/>
      <rgbColor rgb="FF2E7D32"/>
      <rgbColor rgb="FF0A1628"/>
      <rgbColor rgb="FF444444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tabSelected="1" zoomScaleNormal="100" workbookViewId="0">
      <selection activeCell="I18" sqref="I18"/>
    </sheetView>
  </sheetViews>
  <sheetFormatPr defaultColWidth="8.6640625" defaultRowHeight="14.4" x14ac:dyDescent="0.3"/>
  <cols>
    <col min="1" max="1" width="4" customWidth="1"/>
    <col min="2" max="2" width="30" customWidth="1"/>
    <col min="3" max="3" width="28" customWidth="1"/>
    <col min="4" max="4" width="20" customWidth="1"/>
    <col min="5" max="5" width="16" customWidth="1"/>
    <col min="6" max="6" width="5" customWidth="1"/>
    <col min="7" max="7" width="15" customWidth="1"/>
    <col min="8" max="8" width="14" customWidth="1"/>
    <col min="9" max="9" width="32" customWidth="1"/>
  </cols>
  <sheetData>
    <row r="1" spans="1:9" ht="39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1.75" customHeight="1" x14ac:dyDescent="0.3">
      <c r="A2" s="62" t="s">
        <v>1</v>
      </c>
      <c r="B2" s="62"/>
      <c r="C2" s="62"/>
      <c r="D2" s="62"/>
      <c r="E2" s="62"/>
      <c r="F2" s="62"/>
      <c r="G2" s="62"/>
      <c r="H2" s="62"/>
      <c r="I2" s="62"/>
    </row>
    <row r="3" spans="1:9" ht="19.5" customHeight="1" x14ac:dyDescent="0.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</row>
    <row r="4" spans="1:9" ht="27.75" customHeight="1" x14ac:dyDescent="0.3">
      <c r="A4" s="15">
        <v>1</v>
      </c>
      <c r="B4" s="16" t="s">
        <v>11</v>
      </c>
      <c r="C4" s="17" t="s">
        <v>12</v>
      </c>
      <c r="D4" s="18" t="s">
        <v>13</v>
      </c>
      <c r="E4" s="15" t="s">
        <v>14</v>
      </c>
      <c r="F4" s="15">
        <v>1</v>
      </c>
      <c r="G4" s="19">
        <v>4589</v>
      </c>
      <c r="H4" s="20">
        <f t="shared" ref="H4:H19" si="0">F4*G4</f>
        <v>4589</v>
      </c>
      <c r="I4" s="17" t="s">
        <v>15</v>
      </c>
    </row>
    <row r="5" spans="1:9" ht="27.75" customHeight="1" x14ac:dyDescent="0.3">
      <c r="A5" s="21">
        <v>2</v>
      </c>
      <c r="B5" s="22" t="s">
        <v>16</v>
      </c>
      <c r="C5" s="23" t="s">
        <v>17</v>
      </c>
      <c r="D5" s="24" t="s">
        <v>18</v>
      </c>
      <c r="E5" s="21" t="s">
        <v>19</v>
      </c>
      <c r="F5" s="21">
        <v>1</v>
      </c>
      <c r="G5" s="25">
        <v>1150</v>
      </c>
      <c r="H5" s="26">
        <f t="shared" si="0"/>
        <v>1150</v>
      </c>
      <c r="I5" s="23" t="s">
        <v>20</v>
      </c>
    </row>
    <row r="6" spans="1:9" ht="27.75" customHeight="1" x14ac:dyDescent="0.3">
      <c r="A6" s="15">
        <v>3</v>
      </c>
      <c r="B6" s="16" t="s">
        <v>21</v>
      </c>
      <c r="C6" s="17" t="s">
        <v>22</v>
      </c>
      <c r="D6" s="18" t="s">
        <v>23</v>
      </c>
      <c r="E6" s="15" t="s">
        <v>14</v>
      </c>
      <c r="F6" s="15">
        <v>1</v>
      </c>
      <c r="G6" s="19">
        <v>650</v>
      </c>
      <c r="H6" s="20">
        <f t="shared" si="0"/>
        <v>650</v>
      </c>
      <c r="I6" s="17" t="s">
        <v>24</v>
      </c>
    </row>
    <row r="7" spans="1:9" ht="27.75" customHeight="1" x14ac:dyDescent="0.3">
      <c r="A7" s="21">
        <v>4</v>
      </c>
      <c r="B7" s="22" t="s">
        <v>25</v>
      </c>
      <c r="C7" s="23" t="s">
        <v>26</v>
      </c>
      <c r="D7" s="24" t="s">
        <v>23</v>
      </c>
      <c r="E7" s="21" t="s">
        <v>27</v>
      </c>
      <c r="F7" s="21">
        <v>1</v>
      </c>
      <c r="G7" s="25">
        <v>147</v>
      </c>
      <c r="H7" s="26">
        <f t="shared" si="0"/>
        <v>147</v>
      </c>
      <c r="I7" s="23" t="s">
        <v>28</v>
      </c>
    </row>
    <row r="8" spans="1:9" ht="27.75" customHeight="1" x14ac:dyDescent="0.3">
      <c r="A8" s="15">
        <v>5</v>
      </c>
      <c r="B8" s="16" t="s">
        <v>29</v>
      </c>
      <c r="C8" s="17" t="s">
        <v>30</v>
      </c>
      <c r="D8" s="18" t="s">
        <v>13</v>
      </c>
      <c r="E8" s="15" t="s">
        <v>27</v>
      </c>
      <c r="F8" s="15">
        <v>1</v>
      </c>
      <c r="G8" s="19">
        <v>989</v>
      </c>
      <c r="H8" s="20">
        <f t="shared" si="0"/>
        <v>989</v>
      </c>
      <c r="I8" s="17" t="s">
        <v>31</v>
      </c>
    </row>
    <row r="9" spans="1:9" ht="27.75" customHeight="1" x14ac:dyDescent="0.3">
      <c r="A9" s="21">
        <v>6</v>
      </c>
      <c r="B9" s="22" t="s">
        <v>32</v>
      </c>
      <c r="C9" s="23" t="s">
        <v>33</v>
      </c>
      <c r="D9" s="24" t="s">
        <v>23</v>
      </c>
      <c r="E9" s="21" t="s">
        <v>34</v>
      </c>
      <c r="F9" s="21">
        <v>1</v>
      </c>
      <c r="G9" s="25">
        <v>343</v>
      </c>
      <c r="H9" s="26">
        <f t="shared" si="0"/>
        <v>343</v>
      </c>
      <c r="I9" s="23" t="s">
        <v>35</v>
      </c>
    </row>
    <row r="10" spans="1:9" ht="27.75" customHeight="1" x14ac:dyDescent="0.3">
      <c r="A10" s="15">
        <v>7</v>
      </c>
      <c r="B10" s="16" t="s">
        <v>36</v>
      </c>
      <c r="C10" s="17" t="s">
        <v>37</v>
      </c>
      <c r="D10" s="18" t="s">
        <v>13</v>
      </c>
      <c r="E10" s="15" t="s">
        <v>38</v>
      </c>
      <c r="F10" s="15">
        <v>1</v>
      </c>
      <c r="G10" s="19">
        <v>199</v>
      </c>
      <c r="H10" s="20">
        <f t="shared" si="0"/>
        <v>199</v>
      </c>
      <c r="I10" s="17" t="s">
        <v>39</v>
      </c>
    </row>
    <row r="11" spans="1:9" ht="27.75" customHeight="1" x14ac:dyDescent="0.3">
      <c r="A11" s="21">
        <v>8</v>
      </c>
      <c r="B11" s="22" t="s">
        <v>40</v>
      </c>
      <c r="C11" s="23" t="s">
        <v>41</v>
      </c>
      <c r="D11" s="24" t="s">
        <v>23</v>
      </c>
      <c r="E11" s="21" t="s">
        <v>42</v>
      </c>
      <c r="F11" s="21">
        <v>1</v>
      </c>
      <c r="G11" s="25">
        <v>294</v>
      </c>
      <c r="H11" s="26">
        <f t="shared" si="0"/>
        <v>294</v>
      </c>
      <c r="I11" s="23" t="s">
        <v>43</v>
      </c>
    </row>
    <row r="12" spans="1:9" ht="27.75" customHeight="1" x14ac:dyDescent="0.3">
      <c r="A12" s="15">
        <v>9</v>
      </c>
      <c r="B12" s="16" t="s">
        <v>44</v>
      </c>
      <c r="C12" s="17" t="s">
        <v>45</v>
      </c>
      <c r="D12" s="18" t="s">
        <v>13</v>
      </c>
      <c r="E12" s="15" t="s">
        <v>46</v>
      </c>
      <c r="F12" s="15">
        <v>1</v>
      </c>
      <c r="G12" s="19">
        <v>100</v>
      </c>
      <c r="H12" s="20">
        <f t="shared" si="0"/>
        <v>100</v>
      </c>
      <c r="I12" s="17" t="s">
        <v>47</v>
      </c>
    </row>
    <row r="13" spans="1:9" ht="27.75" customHeight="1" x14ac:dyDescent="0.3">
      <c r="A13" s="21">
        <v>10</v>
      </c>
      <c r="B13" s="22" t="s">
        <v>48</v>
      </c>
      <c r="C13" s="23" t="s">
        <v>49</v>
      </c>
      <c r="D13" s="24" t="s">
        <v>13</v>
      </c>
      <c r="E13" s="21" t="s">
        <v>46</v>
      </c>
      <c r="F13" s="21">
        <v>1</v>
      </c>
      <c r="G13" s="25">
        <v>139</v>
      </c>
      <c r="H13" s="26">
        <f t="shared" si="0"/>
        <v>139</v>
      </c>
      <c r="I13" s="23" t="s">
        <v>50</v>
      </c>
    </row>
    <row r="14" spans="1:9" ht="27.75" customHeight="1" x14ac:dyDescent="0.3">
      <c r="A14" s="15">
        <v>11</v>
      </c>
      <c r="B14" s="16" t="s">
        <v>51</v>
      </c>
      <c r="C14" s="17" t="s">
        <v>52</v>
      </c>
      <c r="D14" s="18" t="s">
        <v>13</v>
      </c>
      <c r="E14" s="15" t="s">
        <v>34</v>
      </c>
      <c r="F14" s="15">
        <v>1</v>
      </c>
      <c r="G14" s="19">
        <v>299</v>
      </c>
      <c r="H14" s="20">
        <f t="shared" si="0"/>
        <v>299</v>
      </c>
      <c r="I14" s="17" t="s">
        <v>53</v>
      </c>
    </row>
    <row r="15" spans="1:9" ht="27.75" customHeight="1" x14ac:dyDescent="0.3">
      <c r="A15" s="21">
        <v>12</v>
      </c>
      <c r="B15" s="22" t="s">
        <v>54</v>
      </c>
      <c r="C15" s="23" t="s">
        <v>55</v>
      </c>
      <c r="D15" s="24" t="s">
        <v>23</v>
      </c>
      <c r="E15" s="21" t="s">
        <v>14</v>
      </c>
      <c r="F15" s="21">
        <v>1</v>
      </c>
      <c r="G15" s="25">
        <v>147</v>
      </c>
      <c r="H15" s="26">
        <f t="shared" si="0"/>
        <v>147</v>
      </c>
      <c r="I15" s="23" t="s">
        <v>56</v>
      </c>
    </row>
    <row r="16" spans="1:9" ht="27.75" customHeight="1" x14ac:dyDescent="0.3">
      <c r="A16" s="15">
        <v>13</v>
      </c>
      <c r="B16" s="16" t="s">
        <v>57</v>
      </c>
      <c r="C16" s="17" t="s">
        <v>58</v>
      </c>
      <c r="D16" s="18" t="s">
        <v>59</v>
      </c>
      <c r="E16" s="15" t="s">
        <v>60</v>
      </c>
      <c r="F16" s="15">
        <v>1</v>
      </c>
      <c r="G16" s="19">
        <v>2090</v>
      </c>
      <c r="H16" s="20">
        <f t="shared" si="0"/>
        <v>2090</v>
      </c>
      <c r="I16" s="17" t="s">
        <v>61</v>
      </c>
    </row>
    <row r="17" spans="1:9" ht="27.75" customHeight="1" x14ac:dyDescent="0.3">
      <c r="A17" s="27">
        <v>14</v>
      </c>
      <c r="B17" s="28" t="s">
        <v>62</v>
      </c>
      <c r="C17" s="29" t="s">
        <v>63</v>
      </c>
      <c r="D17" s="30" t="s">
        <v>64</v>
      </c>
      <c r="E17" s="27" t="s">
        <v>42</v>
      </c>
      <c r="F17" s="27">
        <v>1</v>
      </c>
      <c r="G17" s="31">
        <v>800</v>
      </c>
      <c r="H17" s="32">
        <f t="shared" si="0"/>
        <v>800</v>
      </c>
      <c r="I17" s="29" t="s">
        <v>65</v>
      </c>
    </row>
    <row r="18" spans="1:9" ht="27.75" customHeight="1" x14ac:dyDescent="0.3">
      <c r="A18" s="27">
        <v>15</v>
      </c>
      <c r="B18" s="28" t="s">
        <v>66</v>
      </c>
      <c r="C18" s="29" t="s">
        <v>67</v>
      </c>
      <c r="D18" s="30" t="s">
        <v>64</v>
      </c>
      <c r="E18" s="27" t="s">
        <v>34</v>
      </c>
      <c r="F18" s="27">
        <v>1</v>
      </c>
      <c r="G18" s="31">
        <v>350</v>
      </c>
      <c r="H18" s="32">
        <f t="shared" si="0"/>
        <v>350</v>
      </c>
      <c r="I18" s="29" t="s">
        <v>68</v>
      </c>
    </row>
    <row r="19" spans="1:9" ht="27.75" customHeight="1" x14ac:dyDescent="0.3">
      <c r="A19" s="27">
        <v>16</v>
      </c>
      <c r="B19" s="28" t="s">
        <v>69</v>
      </c>
      <c r="C19" s="29" t="s">
        <v>70</v>
      </c>
      <c r="D19" s="30" t="s">
        <v>64</v>
      </c>
      <c r="E19" s="27" t="s">
        <v>46</v>
      </c>
      <c r="F19" s="27">
        <v>1</v>
      </c>
      <c r="G19" s="31">
        <v>250</v>
      </c>
      <c r="H19" s="32">
        <f t="shared" si="0"/>
        <v>250</v>
      </c>
      <c r="I19" s="29" t="s">
        <v>71</v>
      </c>
    </row>
    <row r="20" spans="1:9" ht="21.75" customHeight="1" x14ac:dyDescent="0.3">
      <c r="A20" s="11" t="s">
        <v>72</v>
      </c>
      <c r="B20" s="11"/>
      <c r="C20" s="11"/>
      <c r="D20" s="11"/>
      <c r="E20" s="11"/>
      <c r="F20" s="11"/>
      <c r="G20" s="11"/>
      <c r="H20" s="33">
        <f>SUM(H4:H12)</f>
        <v>8461</v>
      </c>
      <c r="I20" s="34"/>
    </row>
    <row r="21" spans="1:9" ht="21.75" customHeight="1" x14ac:dyDescent="0.3">
      <c r="A21" s="10" t="s">
        <v>73</v>
      </c>
      <c r="B21" s="10"/>
      <c r="C21" s="10"/>
      <c r="D21" s="10"/>
      <c r="E21" s="10"/>
      <c r="F21" s="10"/>
      <c r="G21" s="10"/>
      <c r="H21" s="35">
        <f>SUM(H16:H19)</f>
        <v>3490</v>
      </c>
      <c r="I21" s="36"/>
    </row>
    <row r="22" spans="1:9" ht="27.75" customHeight="1" x14ac:dyDescent="0.3">
      <c r="A22" s="9" t="s">
        <v>74</v>
      </c>
      <c r="B22" s="9"/>
      <c r="C22" s="9"/>
      <c r="D22" s="9"/>
      <c r="E22" s="9"/>
      <c r="F22" s="9"/>
      <c r="G22" s="9"/>
      <c r="H22" s="37">
        <f>SUM(H4:H19)</f>
        <v>12536</v>
      </c>
      <c r="I22" s="38"/>
    </row>
    <row r="24" spans="1:9" x14ac:dyDescent="0.3">
      <c r="A24" s="8" t="s">
        <v>75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8" t="s">
        <v>76</v>
      </c>
      <c r="B25" s="8"/>
      <c r="C25" s="7" t="s">
        <v>77</v>
      </c>
      <c r="D25" s="7"/>
      <c r="E25" s="7"/>
      <c r="F25" s="7"/>
      <c r="G25" s="7"/>
      <c r="H25" s="7"/>
      <c r="I25" s="7"/>
    </row>
    <row r="26" spans="1:9" x14ac:dyDescent="0.3">
      <c r="A26" s="8" t="s">
        <v>78</v>
      </c>
      <c r="B26" s="8"/>
      <c r="C26" s="7" t="s">
        <v>79</v>
      </c>
      <c r="D26" s="7"/>
      <c r="E26" s="7"/>
      <c r="F26" s="7"/>
      <c r="G26" s="7"/>
      <c r="H26" s="7"/>
      <c r="I26" s="7"/>
    </row>
    <row r="27" spans="1:9" x14ac:dyDescent="0.3">
      <c r="A27" s="8" t="s">
        <v>80</v>
      </c>
      <c r="B27" s="8"/>
      <c r="C27" s="7" t="s">
        <v>81</v>
      </c>
      <c r="D27" s="7"/>
      <c r="E27" s="7"/>
      <c r="F27" s="7"/>
      <c r="G27" s="7"/>
      <c r="H27" s="7"/>
      <c r="I27" s="7"/>
    </row>
  </sheetData>
  <mergeCells count="12">
    <mergeCell ref="A27:B27"/>
    <mergeCell ref="C27:I27"/>
    <mergeCell ref="A1:I1"/>
    <mergeCell ref="A2:I2"/>
    <mergeCell ref="A24:I24"/>
    <mergeCell ref="A25:B25"/>
    <mergeCell ref="C25:I25"/>
    <mergeCell ref="A26:B26"/>
    <mergeCell ref="C26:I26"/>
    <mergeCell ref="A20:G20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32" customWidth="1"/>
    <col min="3" max="3" width="16" customWidth="1"/>
    <col min="4" max="5" width="14" customWidth="1"/>
    <col min="6" max="6" width="18" customWidth="1"/>
    <col min="7" max="7" width="30" customWidth="1"/>
  </cols>
  <sheetData>
    <row r="1" spans="1:7" ht="39.75" customHeight="1" x14ac:dyDescent="0.3">
      <c r="A1" s="6" t="s">
        <v>82</v>
      </c>
      <c r="B1" s="6"/>
      <c r="C1" s="6"/>
      <c r="D1" s="6"/>
      <c r="E1" s="6"/>
      <c r="F1" s="6"/>
      <c r="G1" s="6"/>
    </row>
    <row r="2" spans="1:7" ht="21.75" customHeight="1" x14ac:dyDescent="0.3">
      <c r="A2" s="5" t="s">
        <v>83</v>
      </c>
      <c r="B2" s="5"/>
      <c r="C2" s="5"/>
      <c r="D2" s="5"/>
      <c r="E2" s="5"/>
      <c r="F2" s="5"/>
      <c r="G2" s="5"/>
    </row>
    <row r="3" spans="1:7" ht="30" customHeight="1" x14ac:dyDescent="0.3">
      <c r="A3" s="39" t="s">
        <v>84</v>
      </c>
      <c r="B3" s="39" t="s">
        <v>85</v>
      </c>
      <c r="C3" s="39" t="s">
        <v>86</v>
      </c>
      <c r="D3" s="39" t="s">
        <v>87</v>
      </c>
      <c r="E3" s="39" t="s">
        <v>88</v>
      </c>
      <c r="F3" s="39" t="s">
        <v>89</v>
      </c>
      <c r="G3" s="39" t="s">
        <v>10</v>
      </c>
    </row>
    <row r="4" spans="1:7" ht="30" customHeight="1" x14ac:dyDescent="0.3">
      <c r="A4" s="40" t="s">
        <v>90</v>
      </c>
      <c r="B4" s="41" t="s">
        <v>91</v>
      </c>
      <c r="C4" s="42">
        <v>0</v>
      </c>
      <c r="D4" s="43">
        <v>2800</v>
      </c>
      <c r="E4" s="44" t="s">
        <v>92</v>
      </c>
      <c r="F4" s="44" t="s">
        <v>93</v>
      </c>
      <c r="G4" s="41" t="s">
        <v>94</v>
      </c>
    </row>
    <row r="5" spans="1:7" ht="30" customHeight="1" x14ac:dyDescent="0.3">
      <c r="A5" s="40" t="s">
        <v>95</v>
      </c>
      <c r="B5" s="41" t="s">
        <v>96</v>
      </c>
      <c r="C5" s="42">
        <v>0</v>
      </c>
      <c r="D5" s="43">
        <v>1500</v>
      </c>
      <c r="E5" s="44" t="s">
        <v>92</v>
      </c>
      <c r="F5" s="44" t="s">
        <v>97</v>
      </c>
      <c r="G5" s="41" t="s">
        <v>98</v>
      </c>
    </row>
    <row r="6" spans="1:7" ht="30" customHeight="1" x14ac:dyDescent="0.3">
      <c r="A6" s="40" t="s">
        <v>99</v>
      </c>
      <c r="B6" s="41" t="s">
        <v>100</v>
      </c>
      <c r="C6" s="42">
        <v>0</v>
      </c>
      <c r="D6" s="43">
        <v>0</v>
      </c>
      <c r="E6" s="44" t="s">
        <v>101</v>
      </c>
      <c r="F6" s="44" t="s">
        <v>102</v>
      </c>
      <c r="G6" s="41" t="s">
        <v>103</v>
      </c>
    </row>
    <row r="7" spans="1:7" ht="30" customHeight="1" x14ac:dyDescent="0.3">
      <c r="A7" s="40" t="s">
        <v>104</v>
      </c>
      <c r="B7" s="41" t="s">
        <v>105</v>
      </c>
      <c r="C7" s="42">
        <v>0</v>
      </c>
      <c r="D7" s="43">
        <v>0</v>
      </c>
      <c r="E7" s="44" t="s">
        <v>101</v>
      </c>
      <c r="F7" s="44" t="s">
        <v>106</v>
      </c>
      <c r="G7" s="41" t="s">
        <v>107</v>
      </c>
    </row>
    <row r="8" spans="1:7" ht="30" customHeight="1" x14ac:dyDescent="0.3">
      <c r="A8" s="40" t="s">
        <v>108</v>
      </c>
      <c r="B8" s="41" t="s">
        <v>109</v>
      </c>
      <c r="C8" s="42">
        <v>0</v>
      </c>
      <c r="D8" s="43">
        <v>2000</v>
      </c>
      <c r="E8" s="44" t="s">
        <v>110</v>
      </c>
      <c r="F8" s="44" t="s">
        <v>111</v>
      </c>
      <c r="G8" s="41" t="s">
        <v>112</v>
      </c>
    </row>
    <row r="9" spans="1:7" ht="30" customHeight="1" x14ac:dyDescent="0.3">
      <c r="A9" s="40" t="s">
        <v>113</v>
      </c>
      <c r="B9" s="41" t="s">
        <v>114</v>
      </c>
      <c r="C9" s="42">
        <v>0</v>
      </c>
      <c r="D9" s="43">
        <v>0</v>
      </c>
      <c r="E9" s="44" t="s">
        <v>101</v>
      </c>
      <c r="F9" s="44" t="s">
        <v>115</v>
      </c>
      <c r="G9" s="41" t="s">
        <v>116</v>
      </c>
    </row>
    <row r="10" spans="1:7" ht="30" customHeight="1" x14ac:dyDescent="0.3">
      <c r="A10" s="40" t="s">
        <v>117</v>
      </c>
      <c r="B10" s="41" t="s">
        <v>118</v>
      </c>
      <c r="C10" s="42">
        <v>0</v>
      </c>
      <c r="D10" s="43">
        <v>0</v>
      </c>
      <c r="E10" s="44" t="s">
        <v>101</v>
      </c>
      <c r="F10" s="44" t="s">
        <v>119</v>
      </c>
      <c r="G10" s="41" t="s">
        <v>120</v>
      </c>
    </row>
    <row r="11" spans="1:7" ht="30" customHeight="1" x14ac:dyDescent="0.3">
      <c r="A11" s="40" t="s">
        <v>121</v>
      </c>
      <c r="B11" s="41" t="s">
        <v>122</v>
      </c>
      <c r="C11" s="42">
        <v>0</v>
      </c>
      <c r="D11" s="43">
        <v>0</v>
      </c>
      <c r="E11" s="44" t="s">
        <v>101</v>
      </c>
      <c r="F11" s="44" t="s">
        <v>123</v>
      </c>
      <c r="G11" s="41" t="s">
        <v>124</v>
      </c>
    </row>
    <row r="12" spans="1:7" ht="30" customHeight="1" x14ac:dyDescent="0.3">
      <c r="A12" s="40" t="s">
        <v>125</v>
      </c>
      <c r="B12" s="41" t="s">
        <v>126</v>
      </c>
      <c r="C12" s="42">
        <v>0</v>
      </c>
      <c r="D12" s="43">
        <v>500</v>
      </c>
      <c r="E12" s="44" t="s">
        <v>92</v>
      </c>
      <c r="F12" s="44" t="s">
        <v>127</v>
      </c>
      <c r="G12" s="41" t="s">
        <v>128</v>
      </c>
    </row>
    <row r="13" spans="1:7" ht="30" customHeight="1" x14ac:dyDescent="0.3">
      <c r="A13" s="40" t="s">
        <v>129</v>
      </c>
      <c r="B13" s="41" t="s">
        <v>130</v>
      </c>
      <c r="C13" s="42">
        <v>0</v>
      </c>
      <c r="D13" s="43">
        <v>1000</v>
      </c>
      <c r="E13" s="44" t="s">
        <v>92</v>
      </c>
      <c r="F13" s="44" t="s">
        <v>131</v>
      </c>
      <c r="G13" s="41" t="s">
        <v>132</v>
      </c>
    </row>
    <row r="14" spans="1:7" ht="24" customHeight="1" x14ac:dyDescent="0.3">
      <c r="A14" s="4" t="s">
        <v>133</v>
      </c>
      <c r="B14" s="4"/>
      <c r="C14" s="45">
        <f>SUM(C4:C13)</f>
        <v>0</v>
      </c>
      <c r="D14" s="46"/>
      <c r="E14" s="46"/>
      <c r="F14" s="46"/>
      <c r="G14" s="46"/>
    </row>
    <row r="16" spans="1:7" ht="60" customHeight="1" x14ac:dyDescent="0.3">
      <c r="A16" s="3" t="s">
        <v>134</v>
      </c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</sheetData>
  <mergeCells count="4">
    <mergeCell ref="A1:G1"/>
    <mergeCell ref="A2:G2"/>
    <mergeCell ref="A14:B14"/>
    <mergeCell ref="A16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2" width="20" customWidth="1"/>
    <col min="3" max="3" width="18" customWidth="1"/>
    <col min="4" max="4" width="20" customWidth="1"/>
    <col min="5" max="5" width="28" customWidth="1"/>
  </cols>
  <sheetData>
    <row r="1" spans="1:5" ht="49.5" customHeight="1" x14ac:dyDescent="0.3">
      <c r="A1" s="2" t="s">
        <v>135</v>
      </c>
      <c r="B1" s="2"/>
      <c r="C1" s="2"/>
      <c r="D1" s="2"/>
      <c r="E1" s="2"/>
    </row>
    <row r="2" spans="1:5" ht="19.5" customHeight="1" x14ac:dyDescent="0.3">
      <c r="A2" s="12" t="s">
        <v>136</v>
      </c>
      <c r="B2" s="12"/>
      <c r="C2" s="12"/>
      <c r="D2" s="12"/>
      <c r="E2" s="12"/>
    </row>
    <row r="3" spans="1:5" ht="19.5" customHeight="1" x14ac:dyDescent="0.3">
      <c r="A3" s="14" t="s">
        <v>137</v>
      </c>
      <c r="B3" s="14" t="s">
        <v>138</v>
      </c>
      <c r="C3" s="14" t="s">
        <v>139</v>
      </c>
      <c r="D3" s="14" t="s">
        <v>140</v>
      </c>
      <c r="E3" s="14" t="s">
        <v>10</v>
      </c>
    </row>
    <row r="4" spans="1:5" ht="24" customHeight="1" x14ac:dyDescent="0.3">
      <c r="A4" s="47" t="s">
        <v>141</v>
      </c>
      <c r="B4" s="48">
        <v>9046</v>
      </c>
      <c r="C4" s="49">
        <v>0</v>
      </c>
      <c r="D4" s="24" t="s">
        <v>142</v>
      </c>
      <c r="E4" s="23" t="s">
        <v>143</v>
      </c>
    </row>
    <row r="5" spans="1:5" ht="24" customHeight="1" x14ac:dyDescent="0.3">
      <c r="A5" s="50" t="s">
        <v>144</v>
      </c>
      <c r="B5" s="51">
        <v>3490</v>
      </c>
      <c r="C5" s="52">
        <v>0</v>
      </c>
      <c r="D5" s="18" t="s">
        <v>142</v>
      </c>
      <c r="E5" s="17" t="s">
        <v>145</v>
      </c>
    </row>
    <row r="6" spans="1:5" ht="24" customHeight="1" x14ac:dyDescent="0.3">
      <c r="A6" s="47" t="s">
        <v>146</v>
      </c>
      <c r="B6" s="53">
        <v>0</v>
      </c>
      <c r="C6" s="25">
        <v>8400</v>
      </c>
      <c r="D6" s="24" t="s">
        <v>147</v>
      </c>
      <c r="E6" s="23" t="s">
        <v>148</v>
      </c>
    </row>
    <row r="7" spans="1:5" ht="24" customHeight="1" x14ac:dyDescent="0.3">
      <c r="A7" s="50" t="s">
        <v>108</v>
      </c>
      <c r="B7" s="54">
        <v>0</v>
      </c>
      <c r="C7" s="19">
        <v>2000</v>
      </c>
      <c r="D7" s="18" t="s">
        <v>147</v>
      </c>
      <c r="E7" s="17" t="s">
        <v>149</v>
      </c>
    </row>
    <row r="8" spans="1:5" ht="24" customHeight="1" x14ac:dyDescent="0.3">
      <c r="A8" s="47" t="s">
        <v>150</v>
      </c>
      <c r="B8" s="53">
        <v>0</v>
      </c>
      <c r="C8" s="49">
        <v>0</v>
      </c>
      <c r="D8" s="24" t="s">
        <v>151</v>
      </c>
      <c r="E8" s="23" t="s">
        <v>152</v>
      </c>
    </row>
    <row r="9" spans="1:5" ht="24" customHeight="1" x14ac:dyDescent="0.3">
      <c r="A9" s="50" t="s">
        <v>153</v>
      </c>
      <c r="B9" s="54">
        <v>0</v>
      </c>
      <c r="C9" s="52">
        <v>0</v>
      </c>
      <c r="D9" s="18" t="s">
        <v>154</v>
      </c>
      <c r="E9" s="17" t="s">
        <v>155</v>
      </c>
    </row>
    <row r="10" spans="1:5" ht="24" customHeight="1" x14ac:dyDescent="0.3">
      <c r="A10" s="47" t="s">
        <v>156</v>
      </c>
      <c r="B10" s="48">
        <v>627</v>
      </c>
      <c r="C10" s="49">
        <v>0</v>
      </c>
      <c r="D10" s="24" t="s">
        <v>142</v>
      </c>
      <c r="E10" s="23" t="s">
        <v>157</v>
      </c>
    </row>
    <row r="11" spans="1:5" ht="30" customHeight="1" x14ac:dyDescent="0.3">
      <c r="A11" s="55" t="s">
        <v>158</v>
      </c>
      <c r="B11" s="37">
        <f>SUM(B4:B10)</f>
        <v>13163</v>
      </c>
      <c r="C11" s="37">
        <f>SUM(C4:C10)</f>
        <v>10400</v>
      </c>
      <c r="D11" s="56"/>
      <c r="E11" s="56"/>
    </row>
    <row r="13" spans="1:5" ht="99.75" customHeight="1" x14ac:dyDescent="0.3">
      <c r="A13" s="1" t="s">
        <v>159</v>
      </c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</sheetData>
  <mergeCells count="3">
    <mergeCell ref="A1:E1"/>
    <mergeCell ref="A2:E2"/>
    <mergeCell ref="A13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25" customWidth="1"/>
    <col min="3" max="3" width="22" customWidth="1"/>
    <col min="4" max="5" width="16" customWidth="1"/>
    <col min="6" max="6" width="14" customWidth="1"/>
    <col min="7" max="7" width="32" customWidth="1"/>
  </cols>
  <sheetData>
    <row r="1" spans="1:7" ht="34.5" customHeight="1" x14ac:dyDescent="0.3">
      <c r="A1" s="6" t="s">
        <v>160</v>
      </c>
      <c r="B1" s="6"/>
      <c r="C1" s="6"/>
      <c r="D1" s="6"/>
      <c r="E1" s="6"/>
      <c r="F1" s="6"/>
      <c r="G1" s="6"/>
    </row>
    <row r="2" spans="1:7" ht="19.5" customHeight="1" x14ac:dyDescent="0.3">
      <c r="A2" s="14" t="s">
        <v>161</v>
      </c>
      <c r="B2" s="14" t="s">
        <v>162</v>
      </c>
      <c r="C2" s="14" t="s">
        <v>6</v>
      </c>
      <c r="D2" s="14" t="s">
        <v>163</v>
      </c>
      <c r="E2" s="14" t="s">
        <v>164</v>
      </c>
      <c r="F2" s="14" t="s">
        <v>165</v>
      </c>
      <c r="G2" s="14" t="s">
        <v>166</v>
      </c>
    </row>
    <row r="3" spans="1:7" ht="31.5" customHeight="1" x14ac:dyDescent="0.3">
      <c r="A3" s="50" t="s">
        <v>13</v>
      </c>
      <c r="B3" s="17" t="s">
        <v>167</v>
      </c>
      <c r="C3" s="15" t="s">
        <v>168</v>
      </c>
      <c r="D3" s="15" t="s">
        <v>169</v>
      </c>
      <c r="E3" s="57" t="s">
        <v>170</v>
      </c>
      <c r="F3" s="17" t="s">
        <v>171</v>
      </c>
      <c r="G3" s="58" t="s">
        <v>172</v>
      </c>
    </row>
    <row r="4" spans="1:7" ht="31.5" customHeight="1" x14ac:dyDescent="0.3">
      <c r="A4" s="47" t="s">
        <v>23</v>
      </c>
      <c r="B4" s="23" t="s">
        <v>173</v>
      </c>
      <c r="C4" s="21" t="s">
        <v>174</v>
      </c>
      <c r="D4" s="21" t="s">
        <v>175</v>
      </c>
      <c r="E4" s="59" t="s">
        <v>170</v>
      </c>
      <c r="F4" s="23" t="s">
        <v>176</v>
      </c>
      <c r="G4" s="60" t="s">
        <v>177</v>
      </c>
    </row>
    <row r="5" spans="1:7" ht="31.5" customHeight="1" x14ac:dyDescent="0.3">
      <c r="A5" s="50" t="s">
        <v>178</v>
      </c>
      <c r="B5" s="17" t="s">
        <v>179</v>
      </c>
      <c r="C5" s="15" t="s">
        <v>180</v>
      </c>
      <c r="D5" s="15" t="s">
        <v>181</v>
      </c>
      <c r="E5" s="57" t="s">
        <v>182</v>
      </c>
      <c r="F5" s="17" t="s">
        <v>183</v>
      </c>
      <c r="G5" s="58" t="s">
        <v>184</v>
      </c>
    </row>
    <row r="6" spans="1:7" ht="31.5" customHeight="1" x14ac:dyDescent="0.3">
      <c r="A6" s="47" t="s">
        <v>64</v>
      </c>
      <c r="B6" s="23" t="s">
        <v>185</v>
      </c>
      <c r="C6" s="21" t="s">
        <v>186</v>
      </c>
      <c r="D6" s="21" t="s">
        <v>187</v>
      </c>
      <c r="E6" s="59" t="s">
        <v>170</v>
      </c>
      <c r="F6" s="23" t="s">
        <v>188</v>
      </c>
      <c r="G6" s="60" t="s">
        <v>189</v>
      </c>
    </row>
    <row r="7" spans="1:7" ht="31.5" customHeight="1" x14ac:dyDescent="0.3">
      <c r="A7" s="50" t="s">
        <v>190</v>
      </c>
      <c r="B7" s="17" t="s">
        <v>191</v>
      </c>
      <c r="C7" s="15" t="s">
        <v>192</v>
      </c>
      <c r="D7" s="15" t="s">
        <v>193</v>
      </c>
      <c r="E7" s="61" t="s">
        <v>194</v>
      </c>
      <c r="F7" s="17" t="s">
        <v>195</v>
      </c>
      <c r="G7" s="58" t="s">
        <v>196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Hardware Budget</vt:lpstr>
      <vt:lpstr>Software &amp; Infrastructure</vt:lpstr>
      <vt:lpstr>Pilot Budget Summary</vt:lpstr>
      <vt:lpstr>Vendor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Faheem</cp:lastModifiedBy>
  <cp:revision>0</cp:revision>
  <dcterms:created xsi:type="dcterms:W3CDTF">2026-05-05T10:06:54Z</dcterms:created>
  <dcterms:modified xsi:type="dcterms:W3CDTF">2026-05-06T07:11:42Z</dcterms:modified>
  <dc:language>en-US</dc:language>
</cp:coreProperties>
</file>